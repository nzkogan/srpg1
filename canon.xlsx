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ME" sheetId="1" state="visible" r:id="rId1"/>
    <sheet name="enums" sheetId="2" state="visible" r:id="rId2"/>
    <sheet name="sects" sheetId="3" state="visible" r:id="rId3"/>
    <sheet name="classes" sheetId="4" state="visible" r:id="rId4"/>
    <sheet name="growths" sheetId="5" state="visible" r:id="rId5"/>
    <sheet name="units" sheetId="6" state="visible" r:id="rId6"/>
    <sheet name="unit_base_stats" sheetId="7" state="visible" r:id="rId7"/>
    <sheet name="maps" sheetId="8" state="visible" r:id="rId8"/>
    <sheet name="enemy_archetypes" sheetId="9" state="visible" r:id="rId9"/>
    <sheet name="encounter_spawns" sheetId="10" state="visible" r:id="rId10"/>
    <sheet name="terrain_costs" sheetId="11" state="visible" r:id="rId11"/>
    <sheet name="chapters" sheetId="12" state="visible" r:id="rId12"/>
    <sheet name="epithets" sheetId="13" state="visible" r:id="rId13"/>
    <sheet name="deputy_ledger" sheetId="14" state="visible" r:id="rId14"/>
    <sheet name="npcs" sheetId="15" state="visible" r:id="rId15"/>
    <sheet name="scenes" sheetId="16" state="visible" r:id="rId16"/>
    <sheet name="validation" sheetId="17" state="visible" r:id="rId17"/>
    <sheet name="regions" sheetId="18" state="visible" r:id="rId18"/>
    <sheet name="named" sheetId="19" state="visible" r:id="rId19"/>
    <sheet name="states" sheetId="20" state="visible" r:id="rId20"/>
    <sheet name="defections" sheetId="21" state="visible" r:id="rId21"/>
    <sheet name="guest_units" sheetId="22" state="visible" r:id="rId22"/>
    <sheet name="locations" sheetId="23" state="visible" r:id="rId23"/>
    <sheet name="polities" sheetId="24" state="visible" r:id="rId24"/>
    <sheet name="settlements" sheetId="25" state="visible" r:id="rId25"/>
    <sheet name="eras" sheetId="26" state="visible" r:id="rId26"/>
    <sheet name="flashbacks" sheetId="27" state="visible" r:id="rId27"/>
    <sheet name="prologue_roster" sheetId="28" state="visible" r:id="rId28"/>
    <sheet name="prologue_structures" sheetId="29" state="visible" r:id="rId29"/>
    <sheet name="prologue_tuning" sheetId="30" state="visible" r:id="rId30"/>
    <sheet name="signs" sheetId="31" state="visible" r:id="rId31"/>
    <sheet name="calendar" sheetId="32" state="visible" r:id="rId32"/>
    <sheet name="practices" sheetId="33" state="visible" r:id="rId33"/>
    <sheet name="the_claimant" sheetId="34" state="visible" r:id="rId34"/>
    <sheet name="the_hierophant" sheetId="35" state="visible" r:id="rId35"/>
    <sheet name="roster_gaps" sheetId="36" state="visible" r:id="rId36"/>
    <sheet name="canon_flags" sheetId="37" state="visible" r:id="rId37"/>
    <sheet name="epilogue_generation" sheetId="38" state="visible" r:id="rId38"/>
    <sheet name="weapons" sheetId="39" state="visible" r:id="rId39"/>
    <sheet name="forges" sheetId="40" state="visible" r:id="rId40"/>
    <sheet name="materials" sheetId="41" state="visible" r:id="rId41"/>
    <sheet name="christian_allegory" sheetId="42" state="visible" r:id="rId42"/>
    <sheet name="ascension_signals" sheetId="43" state="visible" r:id="rId43"/>
    <sheet name="endings" sheetId="44" state="visible" r:id="rId44"/>
    <sheet name="naming_reference" sheetId="45" state="visible" r:id="rId45"/>
  </sheets>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sz val="11"/>
    </font>
    <font>
      <name val="Arial"/>
      <charset val="1"/>
      <family val="0"/>
      <sz val="10"/>
    </font>
    <font>
      <name val="Arial"/>
      <charset val="1"/>
      <family val="0"/>
      <b val="1"/>
      <color rgb="FFFFFFFF"/>
      <sz val="10"/>
    </font>
    <font>
      <name val="Arial"/>
      <charset val="1"/>
      <family val="0"/>
      <i val="1"/>
      <color rgb="FF595959"/>
      <sz val="9"/>
    </font>
    <font>
      <name val="Arial"/>
      <charset val="1"/>
      <family val="0"/>
      <color rgb="FF0000FF"/>
      <sz val="10"/>
    </font>
    <font>
      <name val="Arial"/>
      <charset val="1"/>
      <family val="0"/>
      <b val="1"/>
      <sz val="10"/>
    </font>
  </fonts>
  <fills count="4">
    <fill>
      <patternFill/>
    </fill>
    <fill>
      <patternFill patternType="gray125"/>
    </fill>
    <fill>
      <patternFill patternType="solid">
        <fgColor rgb="FF1F3864"/>
        <bgColor rgb="FF333333"/>
      </patternFill>
    </fill>
    <fill>
      <patternFill patternType="solid">
        <fgColor rgb="FFFFF2CC"/>
        <bgColor rgb="FFFFFFF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7" fillId="0"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6" fillId="2" borderId="0" pivotButton="0" quotePrefix="0" xfId="0"/>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styles" Target="styles.xml" Id="rId46" /><Relationship Type="http://schemas.openxmlformats.org/officeDocument/2006/relationships/theme" Target="theme/theme1.xml" Id="rId4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5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8" customWidth="1" style="17" min="1" max="1"/>
  </cols>
  <sheetData>
    <row r="1" ht="15" customHeight="1" s="18">
      <c r="A1" s="19" t="inlineStr">
        <is>
          <t>FODLAN CANON MASTER DATA</t>
        </is>
      </c>
    </row>
    <row r="2" ht="15" customHeight="1" s="18">
      <c r="A2" s="20" t="n"/>
    </row>
    <row r="3" ht="15" customHeight="1" s="18">
      <c r="A3" s="20" t="inlineStr">
        <is>
          <t>What this is: the source of truth for the sequel. Prose is generated FROM this, never the reverse.</t>
        </is>
      </c>
    </row>
    <row r="4" ht="15" customHeight="1" s="18">
      <c r="A4" s="20" t="inlineStr">
        <is>
          <t>If a name, place, class, or unit is not in here, it does not exist yet.</t>
        </is>
      </c>
    </row>
    <row r="5" ht="15" customHeight="1" s="18">
      <c r="A5" s="20" t="n"/>
    </row>
    <row r="6" ht="15" customHeight="1" s="18">
      <c r="A6" s="19" t="inlineStr">
        <is>
          <t>HOW TO USE</t>
        </is>
      </c>
    </row>
    <row r="7" ht="15" customHeight="1" s="18">
      <c r="A7" s="20" t="inlineStr">
        <is>
          <t>1. Add entities by row. Every row needs an ID in the first column. IDs never change once written.</t>
        </is>
      </c>
    </row>
    <row r="8" ht="15" customHeight="1" s="18">
      <c r="A8" s="20" t="inlineStr">
        <is>
          <t>2. Enum-typed columns must draw from the enums tab. Add the value there first.</t>
        </is>
      </c>
    </row>
    <row r="9" ht="15" customHeight="1" s="18">
      <c r="A9" s="20" t="inlineStr">
        <is>
          <t>3. Multi-valued cells are pipe-delimited text (u_jost|u_tancred). No multi-selects, ever.</t>
        </is>
      </c>
    </row>
    <row r="10" ht="15" customHeight="1" s="18">
      <c r="A10" s="20" t="inlineStr">
        <is>
          <t>4. The validation tab is live: any blocking count above zero means something dangles.</t>
        </is>
      </c>
    </row>
    <row r="11" ht="15" customHeight="1" s="18">
      <c r="A11" s="20" t="inlineStr">
        <is>
          <t>5. Run canon_validate.py for the checks a formula cannot express.</t>
        </is>
      </c>
    </row>
    <row r="12" ht="15" customHeight="1" s="18">
      <c r="A12" s="20" t="n"/>
    </row>
    <row r="13" ht="15" customHeight="1" s="18">
      <c r="A13" s="19" t="inlineStr">
        <is>
          <t>THE COHERENCE CONTRACT</t>
        </is>
      </c>
    </row>
    <row r="14" ht="15" customHeight="1" s="18">
      <c r="A14" s="20" t="inlineStr">
        <is>
          <t>Every generated scene gets a row on the scenes tab declaring which chapter it belongs to,</t>
        </is>
      </c>
    </row>
    <row r="15" ht="15" customHeight="1" s="18">
      <c r="A15" s="20" t="inlineStr">
        <is>
          <t>which units speak, and which canon flags it branches on. A scene that names a unit who has not</t>
        </is>
      </c>
    </row>
    <row r="16" ht="15" customHeight="1" s="18">
      <c r="A16" s="20" t="inlineStr">
        <is>
          <t>joined by that chapter is a validator failure, not a judgment call.</t>
        </is>
      </c>
    </row>
    <row r="17" ht="15" customHeight="1" s="18">
      <c r="A17" s="20" t="n"/>
    </row>
    <row r="18" ht="15" customHeight="1" s="18">
      <c r="A18" s="19" t="inlineStr">
        <is>
          <t>DIVISION OF LABOR</t>
        </is>
      </c>
    </row>
    <row r="19" ht="15" customHeight="1" s="18">
      <c r="A19" s="20" t="inlineStr">
        <is>
          <t>You decide: which sect grows the Enlightened One, who the Venerated candidates are, what each</t>
        </is>
      </c>
    </row>
    <row r="20" ht="15" customHeight="1" s="18">
      <c r="A20" s="20" t="inlineStr">
        <is>
          <t>map's objective verb is, the tone of the epilogue cards. Anything where two options are both</t>
        </is>
      </c>
    </row>
    <row r="21" ht="15" customHeight="1" s="18">
      <c r="A21" s="20" t="inlineStr">
        <is>
          <t>coherent and the choice reveals taste.</t>
        </is>
      </c>
    </row>
    <row r="22" ht="15" customHeight="1" s="18">
      <c r="A22" s="20" t="inlineStr">
        <is>
          <t>Generated: scene drafts against a one-line spec, enemy rosters, tile data, forge name</t>
        </is>
      </c>
    </row>
    <row r="23" ht="15" customHeight="1" s="18">
      <c r="A23" s="20" t="inlineStr">
        <is>
          <t>permutations, epithet vocabulary, paralogue flavor, item text, and all code.</t>
        </is>
      </c>
    </row>
    <row r="24" ht="15" customHeight="1" s="18">
      <c r="A24" s="20" t="n"/>
    </row>
    <row r="25" ht="15" customHeight="1" s="18">
      <c r="A25" s="19" t="inlineStr">
        <is>
          <t>TAB INDEX</t>
        </is>
      </c>
    </row>
    <row r="26" ht="15" customHeight="1" s="18">
      <c r="A26" s="20" t="inlineStr">
        <is>
          <t>enums, sects, classes, growths, units, maps, chapters, epithets, deputy_ledger, npcs,</t>
        </is>
      </c>
    </row>
    <row r="27" ht="15" customHeight="1" s="18">
      <c r="A27" s="20" t="inlineStr">
        <is>
          <t>canon_flags, scenes, validation</t>
        </is>
      </c>
    </row>
    <row r="28" ht="15" customHeight="1" s="18">
      <c r="A28" s="20" t="n"/>
    </row>
    <row r="29" ht="15" customHeight="1" s="18">
      <c r="A29" s="20" t="inlineStr">
        <is>
          <t>Yellow cells are levers you are expected to tune. Blue text is hardcoded input.</t>
        </is>
      </c>
    </row>
    <row r="30" ht="15" customHeight="1" s="18">
      <c r="A30" s="20" t="inlineStr">
        <is>
          <t>Seeded 2026-08-03 from the design corpus to date. Counts are deliberately incomplete:</t>
        </is>
      </c>
    </row>
    <row r="31" ht="15" customHeight="1" s="18">
      <c r="A31" s="20" t="inlineStr">
        <is>
          <t>14 of 24-28 recruitables, 8 of 30 chapters. The empty rows are the project.</t>
        </is>
      </c>
    </row>
    <row r="33" ht="15" customHeight="1" s="18">
      <c r="A33" s="19" t="inlineStr">
        <is>
          <t>PACING CONTRACT</t>
        </is>
      </c>
    </row>
    <row r="34" ht="15" customHeight="1" s="18">
      <c r="A34" s="20" t="inlineStr">
        <is>
          <t>Calm is scheduled, not optional. Besaid and Balamb Garden are not side content -- the game</t>
        </is>
      </c>
    </row>
    <row r="35" ht="15" customHeight="1" s="18">
      <c r="A35" s="20" t="inlineStr">
        <is>
          <t>routes you through them. Every chapter carries a tonal_register, and the validator counts</t>
        </is>
      </c>
    </row>
    <row r="36" ht="15" customHeight="1" s="18">
      <c r="A36" s="20" t="inlineStr">
        <is>
          <t>them: one warm or wondrous chapter in every four, and never three heavy chapters in a row.</t>
        </is>
      </c>
    </row>
    <row r="37" ht="15" customHeight="1" s="18">
      <c r="A37" s="20" t="inlineStr">
        <is>
          <t>A warm chapter is still a battle. The warmth is in what the map is ABOUT, not in its absence.</t>
        </is>
      </c>
    </row>
    <row r="38" ht="15" customHeight="1" s="18">
      <c r="A38" s="20" t="n"/>
    </row>
    <row r="39" ht="15" customHeight="1" s="18">
      <c r="A39" s="19" t="inlineStr">
        <is>
          <t>VISUAL REGISTER</t>
        </is>
      </c>
    </row>
    <row r="40" ht="15" customHeight="1" s="18">
      <c r="A40" s="20" t="inlineStr">
        <is>
          <t>Namibia and Moebius: vast, legible, sunlit emptiness. Hard noon light, mineral color, deep</t>
        </is>
      </c>
    </row>
    <row r="41" ht="15" customHeight="1" s="18">
      <c r="A41" s="20" t="inlineStr">
        <is>
          <t>horizons, a single figure readable at distance. NOT gothic gloom, NOT brown stone and candles.</t>
        </is>
      </c>
    </row>
    <row r="42" ht="15" customHeight="1" s="18">
      <c r="A42" s="20" t="inlineStr">
        <is>
          <t>The Glass Flats under a white sky at noon should be beautiful before they are ominous.</t>
        </is>
      </c>
    </row>
    <row r="43" ht="15" customHeight="1" s="18">
      <c r="A43" s="20" t="n"/>
    </row>
    <row r="44" ht="15" customHeight="1" s="18">
      <c r="A44" s="19" t="inlineStr">
        <is>
          <t>GEOGRAPHY DISCIPLINE</t>
        </is>
      </c>
    </row>
    <row r="45" ht="15" customHeight="1" s="18">
      <c r="A45" s="20" t="inlineStr">
        <is>
          <t>The center is antique; the fringes are current. Learning moved east and came back translated.</t>
        </is>
      </c>
    </row>
    <row r="46" ht="15" customHeight="1" s="18">
      <c r="A46" s="20" t="inlineStr">
        <is>
          <t>Every scar supports at least two incompatible explanations and the game confirms none of them.</t>
        </is>
      </c>
    </row>
    <row r="48" ht="15" customHeight="1" s="18">
      <c r="A48" s="19" t="inlineStr">
        <is>
          <t>MAP LAWS (from diagnosed the prior age failures)</t>
        </is>
      </c>
    </row>
    <row r="49" ht="15" customHeight="1" s="18">
      <c r="A49" s="20" t="inlineStr">
        <is>
          <t>1. Every reinforcement has an address. Dens are visible and ideally capturable; taking one</t>
        </is>
      </c>
    </row>
    <row r="50" ht="15" customHeight="1" s="18">
      <c r="A50" s="20" t="inlineStr">
        <is>
          <t xml:space="preserve">   stops it producing. Nothing spawns inside the reach of a unit who could not have seen it.</t>
        </is>
      </c>
    </row>
    <row r="51" ht="15" customHeight="1" s="18">
      <c r="A51" s="20" t="inlineStr">
        <is>
          <t>2. No single unit solves a map. Objectives are non-atomic, so preparation stays half the game.</t>
        </is>
      </c>
    </row>
    <row r="52" ht="15" customHeight="1" s="18">
      <c r="A52" s="20" t="inlineStr">
        <is>
          <t>3. A set-piece boss is unreachable for N turns, for a reason visible on the map. Taltian Plains</t>
        </is>
      </c>
    </row>
    <row r="53" ht="15" customHeight="1" s="18">
      <c r="A53" s="20" t="inlineStr">
        <is>
          <t xml:space="preserve">   fails because the penultimate drama resolves on turn one.</t>
        </is>
      </c>
    </row>
    <row r="54" ht="15" customHeight="1" s="18">
      <c r="A54" s="20" t="inlineStr">
        <is>
          <t>4. Forced deploys are budgeted and named. Hunting by Daybreak forces bodies without forcing use,</t>
        </is>
      </c>
    </row>
    <row r="55" ht="15" customHeight="1" s="18">
      <c r="A55" s="20" t="inlineStr">
        <is>
          <t xml:space="preserve">   so the optimal play is parking them in a corner. Diversity is rewarded, never mandated:</t>
        </is>
      </c>
    </row>
    <row r="56" ht="15" customHeight="1" s="18">
      <c r="A56" s="20" t="inlineStr">
        <is>
          <t xml:space="preserve">   every map offers at least two approaches favouring different movement types.</t>
        </is>
      </c>
    </row>
    <row r="57" ht="15" customHeight="1" s="18">
      <c r="A57" s="20" t="n"/>
    </row>
    <row r="58" ht="15" customHeight="1" s="18">
      <c r="A58" s="20" t="inlineStr">
        <is>
          <t>The two-compositions test is a MEASUREMENT, not an opinion. Every map must be beatable by at</t>
        </is>
      </c>
    </row>
    <row r="59" ht="15" customHeight="1" s="18">
      <c r="A59" s="20" t="inlineStr">
        <is>
          <t>least two meaningfully different armies. That is what the sim harness is for.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P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1"/>
    <col width="16" customWidth="1" style="17" min="12" max="13"/>
    <col width="20" customWidth="1" style="17" min="14" max="14"/>
    <col width="16" customWidth="1" style="17" min="15" max="16"/>
  </cols>
  <sheetData>
    <row r="1" ht="30" customHeight="1" s="18">
      <c r="A1" s="21" t="inlineStr">
        <is>
          <t>route</t>
        </is>
      </c>
      <c r="B1" s="21" t="inlineStr">
        <is>
          <t>act</t>
        </is>
      </c>
      <c r="C1" s="21" t="inlineStr">
        <is>
          <t>column</t>
        </is>
      </c>
      <c r="D1" s="21" t="inlineStr">
        <is>
          <t>art</t>
        </is>
      </c>
      <c r="E1" s="21" t="inlineStr">
        <is>
          <t>movement</t>
        </is>
      </c>
      <c r="F1" s="21" t="inlineStr">
        <is>
          <t>class_tier</t>
        </is>
      </c>
      <c r="G1" s="21" t="inlineStr">
        <is>
          <t>objective_verb</t>
        </is>
      </c>
      <c r="H1" s="21" t="inlineStr">
        <is>
          <t>sect_id</t>
        </is>
      </c>
      <c r="I1" s="21" t="inlineStr">
        <is>
          <t>unit_status</t>
        </is>
      </c>
      <c r="J1" s="21" t="inlineStr">
        <is>
          <t>deed_category</t>
        </is>
      </c>
      <c r="K1" s="21" t="inlineStr">
        <is>
          <t>severity</t>
        </is>
      </c>
      <c r="L1" s="22" t="inlineStr">
        <is>
          <t>tonal_register</t>
        </is>
      </c>
      <c r="M1" s="22" t="inlineStr">
        <is>
          <t>direction</t>
        </is>
      </c>
      <c r="N1" s="22" t="inlineStr">
        <is>
          <t>reinforcement_source</t>
        </is>
      </c>
      <c r="O1" s="22" t="inlineStr">
        <is>
          <t>killed_by_type</t>
        </is>
      </c>
      <c r="P1" s="22" t="inlineStr">
        <is>
          <t>killed_by_type</t>
        </is>
      </c>
    </row>
    <row r="2" ht="15" customHeight="1" s="18">
      <c r="A2" s="23" t="inlineStr">
        <is>
          <t>diadem</t>
        </is>
      </c>
      <c r="B2" s="23" t="inlineStr">
        <is>
          <t>prologue</t>
        </is>
      </c>
      <c r="C2" s="23" t="inlineStr">
        <is>
          <t>unified</t>
        </is>
      </c>
      <c r="D2" s="23" t="inlineStr">
        <is>
          <t>sword</t>
        </is>
      </c>
      <c r="E2" s="23" t="inlineStr">
        <is>
          <t>infantry</t>
        </is>
      </c>
      <c r="F2" s="23" t="inlineStr">
        <is>
          <t>commoner</t>
        </is>
      </c>
      <c r="G2" s="23" t="inlineStr">
        <is>
          <t>seize</t>
        </is>
      </c>
      <c r="H2" s="23" t="inlineStr">
        <is>
          <t>sect_vashti</t>
        </is>
      </c>
      <c r="I2" s="23" t="inlineStr">
        <is>
          <t>recruitable</t>
        </is>
      </c>
      <c r="J2" s="23" t="inlineStr">
        <is>
          <t>boss_kill</t>
        </is>
      </c>
      <c r="K2" s="23" t="inlineStr">
        <is>
          <t>blocking</t>
        </is>
      </c>
      <c r="L2" s="24" t="inlineStr">
        <is>
          <t>warm</t>
        </is>
      </c>
      <c r="M2" s="24" t="inlineStr">
        <is>
          <t>center</t>
        </is>
      </c>
      <c r="N2" s="24" t="inlineStr">
        <is>
          <t>none</t>
        </is>
      </c>
      <c r="O2" s="24" t="inlineStr">
        <is>
          <t>polity</t>
        </is>
      </c>
      <c r="P2" s="24" t="inlineStr">
        <is>
          <t>polity</t>
        </is>
      </c>
    </row>
    <row r="3" ht="15" customHeight="1" s="18">
      <c r="A3" s="23" t="inlineStr">
        <is>
          <t>assembly</t>
        </is>
      </c>
      <c r="B3" s="23" t="inlineStr">
        <is>
          <t>1</t>
        </is>
      </c>
      <c r="C3" s="23" t="inlineStr">
        <is>
          <t>A</t>
        </is>
      </c>
      <c r="D3" s="23" t="inlineStr">
        <is>
          <t>lance</t>
        </is>
      </c>
      <c r="E3" s="23" t="inlineStr">
        <is>
          <t>armor</t>
        </is>
      </c>
      <c r="F3" s="23" t="inlineStr">
        <is>
          <t>trained</t>
        </is>
      </c>
      <c r="G3" s="23" t="inlineStr">
        <is>
          <t>hold</t>
        </is>
      </c>
      <c r="H3" s="23" t="inlineStr">
        <is>
          <t>sect_march</t>
        </is>
      </c>
      <c r="I3" s="23" t="inlineStr">
        <is>
          <t>jagen</t>
        </is>
      </c>
      <c r="J3" s="23" t="inlineStr">
        <is>
          <t>solo_hold</t>
        </is>
      </c>
      <c r="K3" s="23" t="inlineStr">
        <is>
          <t>warning</t>
        </is>
      </c>
      <c r="L3" s="24" t="inlineStr">
        <is>
          <t>wondrous</t>
        </is>
      </c>
      <c r="M3" s="24" t="inlineStr">
        <is>
          <t>north</t>
        </is>
      </c>
      <c r="N3" s="24" t="inlineStr">
        <is>
          <t>den</t>
        </is>
      </c>
      <c r="O3" s="24" t="inlineStr">
        <is>
          <t>named_creature</t>
        </is>
      </c>
      <c r="P3" s="24" t="inlineStr">
        <is>
          <t>named_creature</t>
        </is>
      </c>
    </row>
    <row r="4" ht="15" customHeight="1" s="18">
      <c r="A4" s="23" t="inlineStr">
        <is>
          <t>both</t>
        </is>
      </c>
      <c r="B4" s="23" t="inlineStr">
        <is>
          <t>2</t>
        </is>
      </c>
      <c r="C4" s="23" t="inlineStr">
        <is>
          <t>B</t>
        </is>
      </c>
      <c r="D4" s="23" t="inlineStr">
        <is>
          <t>axe</t>
        </is>
      </c>
      <c r="E4" s="23" t="inlineStr">
        <is>
          <t>riding</t>
        </is>
      </c>
      <c r="F4" s="23" t="inlineStr">
        <is>
          <t>order</t>
        </is>
      </c>
      <c r="G4" s="23" t="inlineStr">
        <is>
          <t>escort</t>
        </is>
      </c>
      <c r="H4" s="23" t="inlineStr">
        <is>
          <t>sect_road</t>
        </is>
      </c>
      <c r="I4" s="23" t="inlineStr">
        <is>
          <t>legacy</t>
        </is>
      </c>
      <c r="J4" s="23" t="inlineStr">
        <is>
          <t>no_hit_map</t>
        </is>
      </c>
      <c r="K4" s="23" t="inlineStr">
        <is>
          <t>info</t>
        </is>
      </c>
      <c r="L4" s="24" t="inlineStr">
        <is>
          <t>cold</t>
        </is>
      </c>
      <c r="M4" s="24" t="inlineStr">
        <is>
          <t>east</t>
        </is>
      </c>
      <c r="N4" s="24" t="inlineStr">
        <is>
          <t>scripted_visible</t>
        </is>
      </c>
      <c r="O4" s="24" t="inlineStr">
        <is>
          <t>defector</t>
        </is>
      </c>
      <c r="P4" s="24" t="inlineStr">
        <is>
          <t>defector</t>
        </is>
      </c>
    </row>
    <row r="5" ht="15" customHeight="1" s="18">
      <c r="A5" s="23" t="n"/>
      <c r="B5" s="23" t="inlineStr">
        <is>
          <t>3</t>
        </is>
      </c>
      <c r="C5" s="23" t="n"/>
      <c r="D5" s="23" t="inlineStr">
        <is>
          <t>bow</t>
        </is>
      </c>
      <c r="E5" s="23" t="inlineStr">
        <is>
          <t>flying</t>
        </is>
      </c>
      <c r="F5" s="23" t="inlineStr">
        <is>
          <t>paragon</t>
        </is>
      </c>
      <c r="G5" s="23" t="inlineStr">
        <is>
          <t>defend</t>
        </is>
      </c>
      <c r="H5" s="23" t="inlineStr">
        <is>
          <t>sect_court</t>
        </is>
      </c>
      <c r="I5" s="23" t="inlineStr">
        <is>
          <t>npc</t>
        </is>
      </c>
      <c r="J5" s="23" t="inlineStr">
        <is>
          <t>miasma_walked</t>
        </is>
      </c>
      <c r="K5" s="23" t="n"/>
      <c r="L5" s="24" t="inlineStr">
        <is>
          <t>grim</t>
        </is>
      </c>
      <c r="M5" s="24" t="inlineStr">
        <is>
          <t>southeast</t>
        </is>
      </c>
      <c r="O5" s="24" t="inlineStr">
        <is>
          <t>boss</t>
        </is>
      </c>
      <c r="P5" s="24" t="inlineStr">
        <is>
          <t>boss</t>
        </is>
      </c>
    </row>
    <row r="6" ht="15" customHeight="1" s="18">
      <c r="A6" s="23" t="n"/>
      <c r="B6" s="23" t="inlineStr">
        <is>
          <t>paralogue</t>
        </is>
      </c>
      <c r="C6" s="23" t="n"/>
      <c r="D6" s="23" t="inlineStr">
        <is>
          <t>brawl</t>
        </is>
      </c>
      <c r="E6" s="23" t="n"/>
      <c r="F6" s="23" t="inlineStr">
        <is>
          <t>shadow</t>
        </is>
      </c>
      <c r="G6" s="23" t="inlineStr">
        <is>
          <t>escape</t>
        </is>
      </c>
      <c r="H6" s="23" t="inlineStr">
        <is>
          <t>sect_coast</t>
        </is>
      </c>
      <c r="I6" s="23" t="inlineStr">
        <is>
          <t>boss</t>
        </is>
      </c>
      <c r="J6" s="23" t="inlineStr">
        <is>
          <t>delivery</t>
        </is>
      </c>
      <c r="K6" s="23" t="n"/>
      <c r="L6" s="24" t="inlineStr">
        <is>
          <t>desolate</t>
        </is>
      </c>
      <c r="M6" s="24" t="inlineStr">
        <is>
          <t>west</t>
        </is>
      </c>
      <c r="O6" s="24" t="inlineStr">
        <is>
          <t>unknown</t>
        </is>
      </c>
      <c r="P6" s="24" t="inlineStr">
        <is>
          <t>unknown</t>
        </is>
      </c>
    </row>
    <row r="7" ht="15" customHeight="1" s="18">
      <c r="A7" s="23" t="n"/>
      <c r="B7" s="23" t="n"/>
      <c r="C7" s="23" t="n"/>
      <c r="D7" s="23" t="inlineStr">
        <is>
          <t>reason</t>
        </is>
      </c>
      <c r="E7" s="23" t="n"/>
      <c r="F7" s="23" t="inlineStr">
        <is>
          <t>personal</t>
        </is>
      </c>
      <c r="G7" s="23" t="inlineStr">
        <is>
          <t>rout</t>
        </is>
      </c>
      <c r="H7" s="23" t="n"/>
      <c r="I7" s="23" t="n"/>
      <c r="J7" s="23" t="inlineStr">
        <is>
          <t>dispersal</t>
        </is>
      </c>
      <c r="K7" s="23" t="n"/>
      <c r="L7" s="24" t="inlineStr">
        <is>
          <t>triumphal</t>
        </is>
      </c>
    </row>
    <row r="8" ht="15" customHeight="1" s="18">
      <c r="A8" s="23" t="n"/>
      <c r="B8" s="23" t="n"/>
      <c r="C8" s="23" t="n"/>
      <c r="D8" s="23" t="inlineStr">
        <is>
          <t>faith</t>
        </is>
      </c>
      <c r="E8" s="23" t="n"/>
      <c r="F8" s="23" t="inlineStr">
        <is>
          <t>hybrid</t>
        </is>
      </c>
      <c r="G8" s="23" t="inlineStr">
        <is>
          <t>purchase</t>
        </is>
      </c>
      <c r="H8" s="23" t="n"/>
      <c r="I8" s="23" t="n"/>
      <c r="J8" s="23" t="inlineStr">
        <is>
          <t>talk</t>
        </is>
      </c>
      <c r="K8" s="23" t="n"/>
      <c r="L8" s="24" t="inlineStr">
        <is>
          <t>elegiac</t>
        </is>
      </c>
    </row>
    <row r="9" ht="15" customHeight="1" s="18">
      <c r="A9" s="23" t="n"/>
      <c r="B9" s="23" t="n"/>
      <c r="C9" s="23" t="n"/>
      <c r="D9" s="23" t="inlineStr">
        <is>
          <t>authority</t>
        </is>
      </c>
      <c r="E9" s="23" t="n"/>
      <c r="F9" s="23" t="n"/>
      <c r="G9" s="23" t="inlineStr">
        <is>
          <t>survive</t>
        </is>
      </c>
      <c r="H9" s="23" t="n"/>
      <c r="I9" s="23" t="n"/>
      <c r="J9" s="23" t="inlineStr">
        <is>
          <t>capture</t>
        </is>
      </c>
      <c r="K9" s="23" t="n"/>
      <c r="L9" s="24" t="inlineStr">
        <is>
          <t>solemn</t>
        </is>
      </c>
    </row>
    <row r="10" ht="15" customHeight="1" s="18">
      <c r="A10" s="23" t="n"/>
      <c r="B10" s="23" t="n"/>
      <c r="C10" s="23" t="n"/>
      <c r="D10" s="23" t="inlineStr">
        <is>
          <t>none</t>
        </is>
      </c>
      <c r="E10" s="23" t="n"/>
      <c r="F10" s="23" t="n"/>
      <c r="G10" s="23" t="n"/>
      <c r="H10" s="23" t="n"/>
      <c r="I10" s="23" t="n"/>
      <c r="J10" s="23" t="inlineStr">
        <is>
          <t>unseen_clear</t>
        </is>
      </c>
      <c r="K10" s="23" t="n"/>
      <c r="L10" s="24" t="inlineStr">
        <is>
          <t>tense</t>
        </is>
      </c>
    </row>
    <row r="11" ht="15" customHeight="1" s="18">
      <c r="A11" s="23" t="n"/>
      <c r="B11" s="23" t="n"/>
      <c r="C11" s="23" t="n"/>
      <c r="D11" s="23" t="n"/>
      <c r="E11" s="23" t="n"/>
      <c r="F11" s="23" t="n"/>
      <c r="G11" s="23" t="n"/>
      <c r="H11" s="23" t="n"/>
      <c r="I11" s="23" t="n"/>
      <c r="J11" s="23" t="inlineStr">
        <is>
          <t>chest</t>
        </is>
      </c>
      <c r="K11" s="23" t="n"/>
      <c r="L11" s="24" t="inlineStr">
        <is>
          <t>eerie</t>
        </is>
      </c>
    </row>
    <row r="12">
      <c r="L12" s="24" t="inlineStr">
        <is>
          <t>uneasy</t>
        </is>
      </c>
    </row>
    <row r="13" ht="15" customHeight="1" s="18">
      <c r="A13" s="25" t="inlineStr">
        <is>
          <t>Controlled vocabulary. Every enum-typed column in this workbook must draw from here. Add a value here first, then use it. Never invent one inline.</t>
        </is>
      </c>
      <c r="L13" s="24" t="inlineStr">
        <is>
          <t>ambivalent</t>
        </is>
      </c>
    </row>
    <row r="14">
      <c r="L14" s="24" t="inlineStr">
        <is>
          <t>strange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4" customWidth="1" style="17" min="2" max="2"/>
    <col width="16" customWidth="1" style="17" min="3" max="3"/>
    <col width="12" customWidth="1" style="17" min="4" max="4"/>
    <col width="20" customWidth="1" style="17" min="5" max="5"/>
    <col width="34" customWidth="1" style="17" min="6" max="6"/>
    <col width="38" customWidth="1" style="17" min="7" max="7"/>
    <col width="10" customWidth="1" style="17" min="8" max="8"/>
    <col width="12" customWidth="1" style="17" min="9" max="9"/>
    <col width="34" customWidth="1" style="17" min="10" max="10"/>
  </cols>
  <sheetData>
    <row r="1" ht="30" customHeight="1" s="18">
      <c r="A1" s="21" t="inlineStr">
        <is>
          <t>sect_id</t>
        </is>
      </c>
      <c r="B1" s="21" t="inlineStr">
        <is>
          <t>self_title</t>
        </is>
      </c>
      <c r="C1" s="21" t="inlineStr">
        <is>
          <t>common_name</t>
        </is>
      </c>
      <c r="D1" s="21" t="inlineStr">
        <is>
          <t>slur</t>
        </is>
      </c>
      <c r="E1" s="21" t="inlineStr">
        <is>
          <t>seat</t>
        </is>
      </c>
      <c r="F1" s="21" t="inlineStr">
        <is>
          <t>wound</t>
        </is>
      </c>
      <c r="G1" s="21" t="inlineStr">
        <is>
          <t>doctrine</t>
        </is>
      </c>
      <c r="H1" s="21" t="inlineStr">
        <is>
          <t>route</t>
        </is>
      </c>
      <c r="I1" s="21" t="inlineStr">
        <is>
          <t>act2_chapter_count</t>
        </is>
      </c>
      <c r="J1" s="21" t="inlineStr">
        <is>
          <t>notes</t>
        </is>
      </c>
    </row>
    <row r="2" ht="23.25" customHeight="1" s="18">
      <c r="A2" s="23" t="inlineStr">
        <is>
          <t>sect_vashti</t>
        </is>
      </c>
      <c r="B2" s="23" t="inlineStr">
        <is>
          <t>the Unstained</t>
        </is>
      </c>
      <c r="C2" s="23" t="inlineStr">
        <is>
          <t>Vashti men</t>
        </is>
      </c>
      <c r="D2" s="23" t="inlineStr">
        <is>
          <t>washers</t>
        </is>
      </c>
      <c r="E2" s="23" t="inlineStr">
        <is>
          <t>Vashti, in the Ashland</t>
        </is>
      </c>
      <c r="F2" s="23" t="inlineStr">
        <is>
          <t>collaboration: lords who hosted the experiments still hold office</t>
        </is>
      </c>
      <c r="G2" s="23" t="inlineStr">
        <is>
          <t>sacraments from complicit hands are void; the veneration must be re-made clean</t>
        </is>
      </c>
      <c r="H2" s="23" t="inlineStr">
        <is>
          <t>diadem</t>
        </is>
      </c>
      <c r="I2" s="23" t="n">
        <v>2</v>
      </c>
      <c r="J2" s="23" t="inlineStr">
        <is>
          <t>no talk conversations available on their seat map</t>
        </is>
      </c>
    </row>
    <row r="3" ht="23.25" customHeight="1" s="18">
      <c r="A3" s="23" t="inlineStr">
        <is>
          <t>sect_march</t>
        </is>
      </c>
      <c r="B3" s="23" t="inlineStr">
        <is>
          <t>the Continuing Word</t>
        </is>
      </c>
      <c r="C3" s="23" t="inlineStr">
        <is>
          <t>March voices</t>
        </is>
      </c>
      <c r="D3" s="23" t="inlineStr">
        <is>
          <t>criers</t>
        </is>
      </c>
      <c r="E3" s="23" t="inlineStr">
        <is>
          <t>the Drowned March</t>
        </is>
      </c>
      <c r="F3" s="23" t="inlineStr">
        <is>
          <t>plague and the last hierarch's silence</t>
        </is>
      </c>
      <c r="G3" s="23" t="inlineStr">
        <is>
          <t>RESTORATIONIST: everything was lost and has now been given back, whole, to a person nobody had heard of. Not a reform of the old church -- a replacement</t>
        </is>
      </c>
      <c r="H3" s="23" t="inlineStr">
        <is>
          <t>assembly</t>
        </is>
      </c>
      <c r="I3" s="23" t="n">
        <v>2</v>
      </c>
      <c r="J3" s="23" t="inlineStr">
        <is>
          <t>WILD COSMOLOGY, strange rather than spooky: the heavens are populated and the dead are busy; the stars are inhabited; the Venerated is one of many in a succession that continues, and the faithful are not going to a reward but to a POST. New scripture is still arriving, dictated, in progress -- chapters can be added between the player's Act 2 visits. The deposed patrons of the Hundred Cities are the planets: not destroyed by Sargath but ELEVATED, and the register is a misreading of a promotion (spectacularly wrong, and unfalsifiable). Translation runs through a physical instrument -- a stone, a bowl, a hat -- something ordinary the seer uses to read what is not there. They are rebaptising the dead by name off the parish lists, which puts the prophets and the crown's clerks in the same archive for opposite reasons. Prophecy NPCs convert green levies ADDENDUM: this is the sect the_hierophant tab resolves as the Hierophant movement's consolidation point (RESOLVED 2026-09-23) -- see that tab and endings.end_hierophant.</t>
        </is>
      </c>
    </row>
    <row r="4" ht="23.25" customHeight="1" s="18">
      <c r="A4" s="23" t="inlineStr">
        <is>
          <t>sect_road</t>
        </is>
      </c>
      <c r="B4" s="23" t="inlineStr">
        <is>
          <t>the Company of the Road</t>
        </is>
      </c>
      <c r="C4" s="23" t="inlineStr">
        <is>
          <t>eastroaders</t>
        </is>
      </c>
      <c r="D4" s="23" t="inlineStr">
        <is>
          <t>factors</t>
        </is>
      </c>
      <c r="E4" s="23" t="inlineStr">
        <is>
          <t>the Throat (the Throat road)</t>
        </is>
      </c>
      <c r="F4" s="23" t="inlineStr">
        <is>
          <t>starvation: the caravan cities live on the road, and the war closed it; what saved them was a stranger extending credit to people who could not repay</t>
        </is>
      </c>
      <c r="G4" s="23" t="inlineStr">
        <is>
          <t>redemption is a purchase word -- to redeem is to buy back. Grace is credit extended to someone who cannot cover it, and the debt discharged by another. The god is met in exchange, on the road, not in buildings</t>
        </is>
      </c>
      <c r="H4" s="23" t="inlineStr">
        <is>
          <t>both</t>
        </is>
      </c>
      <c r="I4" s="23" t="n">
        <v>2</v>
      </c>
      <c r="J4" s="23" t="inlineStr">
        <is>
          <t>GROWS THE ENLIGHTENED ONE (canon). A CONFESSION, NOT A PEOPLE: you join it, anyone can, nobody is born a factor, and they recruit loudly in the open. They hold a sovereign state (the Toll League) with a seat and a treaty. Lending is universal in this world -- the Diadem crown lends, the Assembly borrows, the nobility is leveraged through pacts -- so credit is the water everyone swims in, not a marked group's trait. The historical analogue is Christian: the faith spread along trade routes carried by merchants, and Paul worked the port cities as a tentmaker. THE SECT THAT MARKETS TO THE SUFFERING: not 'endure now, reward later' but 'the payment has already been made, on your behalf, and you were not consulted'</t>
        </is>
      </c>
    </row>
    <row r="5" ht="23.25" customHeight="1" s="18">
      <c r="A5" s="23" t="inlineStr">
        <is>
          <t>sect_court</t>
        </is>
      </c>
      <c r="B5" s="23" t="inlineStr">
        <is>
          <t>the Ordered / the King's Chapel</t>
        </is>
      </c>
      <c r="C5" s="23" t="inlineStr">
        <is>
          <t>the school / the chapel</t>
        </is>
      </c>
      <c r="D5" s="23" t="inlineStr">
        <is>
          <t>clerks</t>
        </is>
      </c>
      <c r="E5" s="23" t="inlineStr">
        <is>
          <t>Kaisareia / Vetch</t>
        </is>
      </c>
      <c r="F5" s="23" t="inlineStr">
        <is>
          <t>proximity to power</t>
        </is>
      </c>
      <c r="G5" s="23" t="inlineStr">
        <is>
          <t>made not begotten: emulate, do not worship; obedience belongs to the throne</t>
        </is>
      </c>
      <c r="H5" s="23" t="inlineStr">
        <is>
          <t>both</t>
        </is>
      </c>
      <c r="I5" s="23" t="n">
        <v>1</v>
      </c>
      <c r="J5" s="23" t="inlineStr">
        <is>
          <t>grows the Grand Inquisitor; home-front thread, ambushes at reunion</t>
        </is>
      </c>
    </row>
    <row r="6" ht="23.25" customHeight="1" s="18">
      <c r="A6" s="23" t="inlineStr">
        <is>
          <t>sect_coast</t>
        </is>
      </c>
      <c r="B6" s="23" t="inlineStr">
        <is>
          <t>(refuses titles)</t>
        </is>
      </c>
      <c r="C6" s="23" t="inlineStr">
        <is>
          <t>the silent</t>
        </is>
      </c>
      <c r="D6" s="23" t="inlineStr">
        <is>
          <t>(none)</t>
        </is>
      </c>
      <c r="E6" s="23" t="inlineStr">
        <is>
          <t>the Stepped Coast</t>
        </is>
      </c>
      <c r="F6" s="23" t="inlineStr">
        <is>
          <t>they are closest to the truth and least interested in sharing it</t>
        </is>
      </c>
      <c r="G6" s="23" t="inlineStr">
        <is>
          <t>renunciation; refuse to adjudicate</t>
        </is>
      </c>
      <c r="H6" s="23" t="inlineStr">
        <is>
          <t>both</t>
        </is>
      </c>
      <c r="I6" s="23" t="n">
        <v>0</v>
      </c>
      <c r="J6" s="23" t="inlineStr">
        <is>
          <t>unreachable by writ; paralogue-only, dark in some runs ADDENDUM: ch_p_macuil / map_p_macuil is this sect's paralogue -- confirmed (2026-09-23) via regions.rgn_stepped_coast's claimed_by_sect_id and its texture matching this sect's own doctrine almost word for word. See that chapter's own note for the full reasoning.</t>
        </is>
      </c>
    </row>
    <row r="8" ht="15" customHeight="1" s="18">
      <c r="A8" s="25" t="inlineStr">
        <is>
          <t>Three-name rule: which name a character uses tells you who they are. Never use self_title in narration.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J5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18" customWidth="1" style="17" min="2" max="2"/>
    <col width="11" customWidth="1" style="17" min="3" max="3"/>
    <col width="12" customWidth="1" style="17" min="4" max="4"/>
    <col width="13" customWidth="1" style="17" min="5" max="5"/>
    <col width="11" customWidth="1" style="17" min="6" max="6"/>
    <col width="16" customWidth="1" style="17" min="7" max="7"/>
    <col width="20" customWidth="1" style="17" min="8" max="8"/>
    <col width="18" customWidth="1" style="17" min="9" max="9"/>
    <col width="30" customWidth="1" style="17" min="10" max="10"/>
  </cols>
  <sheetData>
    <row r="1" ht="30" customHeight="1" s="18">
      <c r="A1" s="21" t="inlineStr">
        <is>
          <t>class_id</t>
        </is>
      </c>
      <c r="B1" s="21" t="inlineStr">
        <is>
          <t>name</t>
        </is>
      </c>
      <c r="C1" s="21" t="inlineStr">
        <is>
          <t>tier</t>
        </is>
      </c>
      <c r="D1" s="21" t="inlineStr">
        <is>
          <t>art_primary</t>
        </is>
      </c>
      <c r="E1" s="21" t="inlineStr">
        <is>
          <t>art_secondary</t>
        </is>
      </c>
      <c r="F1" s="21" t="inlineStr">
        <is>
          <t>movement</t>
        </is>
      </c>
      <c r="G1" s="21" t="inlineStr">
        <is>
          <t>promotes_from</t>
        </is>
      </c>
      <c r="H1" s="21" t="inlineStr">
        <is>
          <t>signature_skill</t>
        </is>
      </c>
      <c r="I1" s="21" t="inlineStr">
        <is>
          <t>provenance</t>
        </is>
      </c>
      <c r="J1" s="21" t="inlineStr">
        <is>
          <t>notes</t>
        </is>
      </c>
    </row>
    <row r="2" ht="15" customHeight="1" s="18">
      <c r="A2" s="23" t="inlineStr">
        <is>
          <t>cls_commoner</t>
        </is>
      </c>
      <c r="B2" s="23" t="inlineStr">
        <is>
          <t>Commoner</t>
        </is>
      </c>
      <c r="C2" s="23" t="inlineStr">
        <is>
          <t>commoner</t>
        </is>
      </c>
      <c r="D2" s="23" t="inlineStr">
        <is>
          <t>none</t>
        </is>
      </c>
      <c r="E2" s="23" t="inlineStr">
        <is>
          <t>none</t>
        </is>
      </c>
      <c r="F2" s="23" t="inlineStr">
        <is>
          <t>infantry</t>
        </is>
      </c>
      <c r="G2" s="23" t="n"/>
      <c r="H2" s="23" t="n"/>
      <c r="I2" s="23" t="inlineStr">
        <is>
          <t>base</t>
        </is>
      </c>
      <c r="J2" s="23" t="n"/>
    </row>
    <row r="3" ht="15" customHeight="1" s="18">
      <c r="A3" s="23" t="inlineStr">
        <is>
          <t>cls_tr_sword</t>
        </is>
      </c>
      <c r="B3" s="23" t="inlineStr">
        <is>
          <t>Trained (sword)</t>
        </is>
      </c>
      <c r="C3" s="23" t="inlineStr">
        <is>
          <t>trained</t>
        </is>
      </c>
      <c r="D3" s="23" t="inlineStr">
        <is>
          <t>sword</t>
        </is>
      </c>
      <c r="E3" s="23" t="inlineStr">
        <is>
          <t>none</t>
        </is>
      </c>
      <c r="F3" s="23" t="inlineStr">
        <is>
          <t>infantry</t>
        </is>
      </c>
      <c r="G3" s="23" t="inlineStr">
        <is>
          <t>cls_commoner</t>
        </is>
      </c>
      <c r="H3" s="23" t="n"/>
      <c r="I3" s="23" t="inlineStr">
        <is>
          <t>base</t>
        </is>
      </c>
      <c r="J3" s="23" t="inlineStr">
        <is>
          <t>single aptitude, lv5+</t>
        </is>
      </c>
    </row>
    <row r="4" ht="15" customHeight="1" s="18">
      <c r="A4" s="23" t="inlineStr">
        <is>
          <t>cls_tr_lance</t>
        </is>
      </c>
      <c r="B4" s="23" t="inlineStr">
        <is>
          <t>Trained (lance)</t>
        </is>
      </c>
      <c r="C4" s="23" t="inlineStr">
        <is>
          <t>trained</t>
        </is>
      </c>
      <c r="D4" s="23" t="inlineStr">
        <is>
          <t>lance</t>
        </is>
      </c>
      <c r="E4" s="23" t="inlineStr">
        <is>
          <t>none</t>
        </is>
      </c>
      <c r="F4" s="23" t="inlineStr">
        <is>
          <t>infantry</t>
        </is>
      </c>
      <c r="G4" s="23" t="inlineStr">
        <is>
          <t>cls_commoner</t>
        </is>
      </c>
      <c r="H4" s="23" t="n"/>
      <c r="I4" s="23" t="inlineStr">
        <is>
          <t>base</t>
        </is>
      </c>
      <c r="J4" s="23" t="inlineStr">
        <is>
          <t>single aptitude, lv5+</t>
        </is>
      </c>
    </row>
    <row r="5" ht="15" customHeight="1" s="18">
      <c r="A5" s="23" t="inlineStr">
        <is>
          <t>cls_tr_axe</t>
        </is>
      </c>
      <c r="B5" s="23" t="inlineStr">
        <is>
          <t>Trained (axe)</t>
        </is>
      </c>
      <c r="C5" s="23" t="inlineStr">
        <is>
          <t>trained</t>
        </is>
      </c>
      <c r="D5" s="23" t="inlineStr">
        <is>
          <t>axe</t>
        </is>
      </c>
      <c r="E5" s="23" t="inlineStr">
        <is>
          <t>none</t>
        </is>
      </c>
      <c r="F5" s="23" t="inlineStr">
        <is>
          <t>infantry</t>
        </is>
      </c>
      <c r="G5" s="23" t="inlineStr">
        <is>
          <t>cls_commoner</t>
        </is>
      </c>
      <c r="H5" s="23" t="n"/>
      <c r="I5" s="23" t="inlineStr">
        <is>
          <t>base</t>
        </is>
      </c>
      <c r="J5" s="23" t="inlineStr">
        <is>
          <t>single aptitude, lv5+</t>
        </is>
      </c>
    </row>
    <row r="6" ht="15" customHeight="1" s="18">
      <c r="A6" s="23" t="inlineStr">
        <is>
          <t>cls_tr_bow</t>
        </is>
      </c>
      <c r="B6" s="23" t="inlineStr">
        <is>
          <t>Trained (bow)</t>
        </is>
      </c>
      <c r="C6" s="23" t="inlineStr">
        <is>
          <t>trained</t>
        </is>
      </c>
      <c r="D6" s="23" t="inlineStr">
        <is>
          <t>bow</t>
        </is>
      </c>
      <c r="E6" s="23" t="inlineStr">
        <is>
          <t>none</t>
        </is>
      </c>
      <c r="F6" s="23" t="inlineStr">
        <is>
          <t>infantry</t>
        </is>
      </c>
      <c r="G6" s="23" t="inlineStr">
        <is>
          <t>cls_commoner</t>
        </is>
      </c>
      <c r="H6" s="23" t="n"/>
      <c r="I6" s="23" t="inlineStr">
        <is>
          <t>base</t>
        </is>
      </c>
      <c r="J6" s="23" t="inlineStr">
        <is>
          <t>single aptitude, lv5+</t>
        </is>
      </c>
    </row>
    <row r="7" ht="15" customHeight="1" s="18">
      <c r="A7" s="23" t="inlineStr">
        <is>
          <t>cls_tr_brawl</t>
        </is>
      </c>
      <c r="B7" s="23" t="inlineStr">
        <is>
          <t>Trained (brawl)</t>
        </is>
      </c>
      <c r="C7" s="23" t="inlineStr">
        <is>
          <t>trained</t>
        </is>
      </c>
      <c r="D7" s="23" t="inlineStr">
        <is>
          <t>brawl</t>
        </is>
      </c>
      <c r="E7" s="23" t="inlineStr">
        <is>
          <t>none</t>
        </is>
      </c>
      <c r="F7" s="23" t="inlineStr">
        <is>
          <t>infantry</t>
        </is>
      </c>
      <c r="G7" s="23" t="inlineStr">
        <is>
          <t>cls_commoner</t>
        </is>
      </c>
      <c r="H7" s="23" t="n"/>
      <c r="I7" s="23" t="inlineStr">
        <is>
          <t>base</t>
        </is>
      </c>
      <c r="J7" s="23" t="inlineStr">
        <is>
          <t>single aptitude, lv5+</t>
        </is>
      </c>
    </row>
    <row r="8" ht="15" customHeight="1" s="18">
      <c r="A8" s="23" t="inlineStr">
        <is>
          <t>cls_tr_reason</t>
        </is>
      </c>
      <c r="B8" s="23" t="inlineStr">
        <is>
          <t>Trained (reason)</t>
        </is>
      </c>
      <c r="C8" s="23" t="inlineStr">
        <is>
          <t>trained</t>
        </is>
      </c>
      <c r="D8" s="23" t="inlineStr">
        <is>
          <t>reason</t>
        </is>
      </c>
      <c r="E8" s="23" t="inlineStr">
        <is>
          <t>none</t>
        </is>
      </c>
      <c r="F8" s="23" t="inlineStr">
        <is>
          <t>infantry</t>
        </is>
      </c>
      <c r="G8" s="23" t="inlineStr">
        <is>
          <t>cls_commoner</t>
        </is>
      </c>
      <c r="H8" s="23" t="n"/>
      <c r="I8" s="23" t="inlineStr">
        <is>
          <t>base</t>
        </is>
      </c>
      <c r="J8" s="23" t="inlineStr">
        <is>
          <t>single aptitude, lv5+</t>
        </is>
      </c>
    </row>
    <row r="9" ht="15" customHeight="1" s="18">
      <c r="A9" s="23" t="inlineStr">
        <is>
          <t>cls_tr_faith</t>
        </is>
      </c>
      <c r="B9" s="23" t="inlineStr">
        <is>
          <t>Trained (faith)</t>
        </is>
      </c>
      <c r="C9" s="23" t="inlineStr">
        <is>
          <t>trained</t>
        </is>
      </c>
      <c r="D9" s="23" t="inlineStr">
        <is>
          <t>faith</t>
        </is>
      </c>
      <c r="E9" s="23" t="inlineStr">
        <is>
          <t>none</t>
        </is>
      </c>
      <c r="F9" s="23" t="inlineStr">
        <is>
          <t>infantry</t>
        </is>
      </c>
      <c r="G9" s="23" t="inlineStr">
        <is>
          <t>cls_commoner</t>
        </is>
      </c>
      <c r="H9" s="23" t="n"/>
      <c r="I9" s="23" t="inlineStr">
        <is>
          <t>base</t>
        </is>
      </c>
      <c r="J9" s="23" t="inlineStr">
        <is>
          <t>single aptitude, lv5+</t>
        </is>
      </c>
    </row>
    <row r="10" ht="15" customHeight="1" s="18">
      <c r="A10" s="23" t="inlineStr">
        <is>
          <t>cls_swordmaster</t>
        </is>
      </c>
      <c r="B10" s="23" t="inlineStr">
        <is>
          <t>Swordmaster</t>
        </is>
      </c>
      <c r="C10" s="23" t="inlineStr">
        <is>
          <t>order</t>
        </is>
      </c>
      <c r="D10" s="23" t="inlineStr">
        <is>
          <t>sword</t>
        </is>
      </c>
      <c r="E10" s="23" t="inlineStr">
        <is>
          <t>infantry</t>
        </is>
      </c>
      <c r="F10" s="23" t="inlineStr">
        <is>
          <t>infantry</t>
        </is>
      </c>
      <c r="G10" s="23" t="inlineStr">
        <is>
          <t>cls_tr_sword</t>
        </is>
      </c>
      <c r="H10" s="23" t="n"/>
      <c r="I10" s="23" t="inlineStr">
        <is>
          <t>state certification</t>
        </is>
      </c>
      <c r="J10" s="23" t="inlineStr">
        <is>
          <t>lv15+, pair-certified</t>
        </is>
      </c>
    </row>
    <row r="11" ht="15" customHeight="1" s="18">
      <c r="A11" s="23" t="inlineStr">
        <is>
          <t>cls_sentinel</t>
        </is>
      </c>
      <c r="B11" s="23" t="inlineStr">
        <is>
          <t>Sentinel</t>
        </is>
      </c>
      <c r="C11" s="23" t="inlineStr">
        <is>
          <t>order</t>
        </is>
      </c>
      <c r="D11" s="23" t="inlineStr">
        <is>
          <t>sword</t>
        </is>
      </c>
      <c r="E11" s="23" t="inlineStr">
        <is>
          <t>armor</t>
        </is>
      </c>
      <c r="F11" s="23" t="inlineStr">
        <is>
          <t>armor</t>
        </is>
      </c>
      <c r="G11" s="23" t="inlineStr">
        <is>
          <t>cls_tr_sword</t>
        </is>
      </c>
      <c r="H11" s="23" t="n"/>
      <c r="I11" s="23" t="inlineStr">
        <is>
          <t>state certification</t>
        </is>
      </c>
      <c r="J11" s="23" t="inlineStr">
        <is>
          <t>lv15+, pair-certified</t>
        </is>
      </c>
    </row>
    <row r="12" ht="15" customHeight="1" s="18">
      <c r="A12" s="23" t="inlineStr">
        <is>
          <t>cls_cavalier</t>
        </is>
      </c>
      <c r="B12" s="23" t="inlineStr">
        <is>
          <t>Cavalier</t>
        </is>
      </c>
      <c r="C12" s="23" t="inlineStr">
        <is>
          <t>order</t>
        </is>
      </c>
      <c r="D12" s="23" t="inlineStr">
        <is>
          <t>sword</t>
        </is>
      </c>
      <c r="E12" s="23" t="inlineStr">
        <is>
          <t>riding</t>
        </is>
      </c>
      <c r="F12" s="23" t="inlineStr">
        <is>
          <t>riding</t>
        </is>
      </c>
      <c r="G12" s="23" t="inlineStr">
        <is>
          <t>cls_tr_sword</t>
        </is>
      </c>
      <c r="H12" s="23" t="n"/>
      <c r="I12" s="23" t="inlineStr">
        <is>
          <t>state certification</t>
        </is>
      </c>
      <c r="J12" s="23" t="inlineStr">
        <is>
          <t>lv15+, pair-certified</t>
        </is>
      </c>
    </row>
    <row r="13" ht="15" customHeight="1" s="18">
      <c r="A13" s="23" t="inlineStr">
        <is>
          <t>cls_dragoon</t>
        </is>
      </c>
      <c r="B13" s="23" t="inlineStr">
        <is>
          <t>Dragoon</t>
        </is>
      </c>
      <c r="C13" s="23" t="inlineStr">
        <is>
          <t>order</t>
        </is>
      </c>
      <c r="D13" s="23" t="inlineStr">
        <is>
          <t>sword</t>
        </is>
      </c>
      <c r="E13" s="23" t="inlineStr">
        <is>
          <t>flying</t>
        </is>
      </c>
      <c r="F13" s="23" t="inlineStr">
        <is>
          <t>flying</t>
        </is>
      </c>
      <c r="G13" s="23" t="inlineStr">
        <is>
          <t>cls_tr_sword</t>
        </is>
      </c>
      <c r="H13" s="23" t="inlineStr">
        <is>
          <t>jump-lunge</t>
        </is>
      </c>
      <c r="I13" s="23" t="inlineStr">
        <is>
          <t>state certification</t>
        </is>
      </c>
      <c r="J13" s="23" t="inlineStr">
        <is>
          <t>lv15+, pair-certified</t>
        </is>
      </c>
    </row>
    <row r="14" ht="15" customHeight="1" s="18">
      <c r="A14" s="23" t="inlineStr">
        <is>
          <t>cls_halberdier</t>
        </is>
      </c>
      <c r="B14" s="23" t="inlineStr">
        <is>
          <t>Halberdier</t>
        </is>
      </c>
      <c r="C14" s="23" t="inlineStr">
        <is>
          <t>order</t>
        </is>
      </c>
      <c r="D14" s="23" t="inlineStr">
        <is>
          <t>lance</t>
        </is>
      </c>
      <c r="E14" s="23" t="inlineStr">
        <is>
          <t>infantry</t>
        </is>
      </c>
      <c r="F14" s="23" t="inlineStr">
        <is>
          <t>infantry</t>
        </is>
      </c>
      <c r="G14" s="23" t="inlineStr">
        <is>
          <t>cls_tr_lance</t>
        </is>
      </c>
      <c r="H14" s="23" t="n"/>
      <c r="I14" s="23" t="inlineStr">
        <is>
          <t>state certification</t>
        </is>
      </c>
      <c r="J14" s="23" t="inlineStr">
        <is>
          <t>lv15+, pair-certified</t>
        </is>
      </c>
    </row>
    <row r="15" ht="15" customHeight="1" s="18">
      <c r="A15" s="23" t="inlineStr">
        <is>
          <t>cls_general</t>
        </is>
      </c>
      <c r="B15" s="23" t="inlineStr">
        <is>
          <t>General</t>
        </is>
      </c>
      <c r="C15" s="23" t="inlineStr">
        <is>
          <t>order</t>
        </is>
      </c>
      <c r="D15" s="23" t="inlineStr">
        <is>
          <t>lance</t>
        </is>
      </c>
      <c r="E15" s="23" t="inlineStr">
        <is>
          <t>armor</t>
        </is>
      </c>
      <c r="F15" s="23" t="inlineStr">
        <is>
          <t>armor</t>
        </is>
      </c>
      <c r="G15" s="23" t="inlineStr">
        <is>
          <t>cls_tr_lance</t>
        </is>
      </c>
      <c r="H15" s="23" t="n"/>
      <c r="I15" s="23" t="inlineStr">
        <is>
          <t>state certification</t>
        </is>
      </c>
      <c r="J15" s="23" t="inlineStr">
        <is>
          <t>lv15+, pair-certified</t>
        </is>
      </c>
    </row>
    <row r="16" ht="15" customHeight="1" s="18">
      <c r="A16" s="23" t="inlineStr">
        <is>
          <t>cls_paladin</t>
        </is>
      </c>
      <c r="B16" s="23" t="inlineStr">
        <is>
          <t>Paladin</t>
        </is>
      </c>
      <c r="C16" s="23" t="inlineStr">
        <is>
          <t>order</t>
        </is>
      </c>
      <c r="D16" s="23" t="inlineStr">
        <is>
          <t>lance</t>
        </is>
      </c>
      <c r="E16" s="23" t="inlineStr">
        <is>
          <t>riding</t>
        </is>
      </c>
      <c r="F16" s="23" t="inlineStr">
        <is>
          <t>riding</t>
        </is>
      </c>
      <c r="G16" s="23" t="inlineStr">
        <is>
          <t>cls_tr_lance</t>
        </is>
      </c>
      <c r="H16" s="23" t="n"/>
      <c r="I16" s="23" t="inlineStr">
        <is>
          <t>state certification</t>
        </is>
      </c>
      <c r="J16" s="23" t="inlineStr">
        <is>
          <t>lv15+, pair-certified</t>
        </is>
      </c>
    </row>
    <row r="17" ht="15" customHeight="1" s="18">
      <c r="A17" s="23" t="inlineStr">
        <is>
          <t>cls_falcon_knight</t>
        </is>
      </c>
      <c r="B17" s="23" t="inlineStr">
        <is>
          <t>Falcon knight</t>
        </is>
      </c>
      <c r="C17" s="23" t="inlineStr">
        <is>
          <t>order</t>
        </is>
      </c>
      <c r="D17" s="23" t="inlineStr">
        <is>
          <t>lance</t>
        </is>
      </c>
      <c r="E17" s="23" t="inlineStr">
        <is>
          <t>flying</t>
        </is>
      </c>
      <c r="F17" s="23" t="inlineStr">
        <is>
          <t>flying</t>
        </is>
      </c>
      <c r="G17" s="23" t="inlineStr">
        <is>
          <t>cls_tr_lance</t>
        </is>
      </c>
      <c r="H17" s="23" t="n"/>
      <c r="I17" s="23" t="inlineStr">
        <is>
          <t>state certification</t>
        </is>
      </c>
      <c r="J17" s="23" t="inlineStr">
        <is>
          <t>lv15+, pair-certified</t>
        </is>
      </c>
    </row>
    <row r="18" ht="15" customHeight="1" s="18">
      <c r="A18" s="23" t="inlineStr">
        <is>
          <t>cls_warrior</t>
        </is>
      </c>
      <c r="B18" s="23" t="inlineStr">
        <is>
          <t>Warrior</t>
        </is>
      </c>
      <c r="C18" s="23" t="inlineStr">
        <is>
          <t>order</t>
        </is>
      </c>
      <c r="D18" s="23" t="inlineStr">
        <is>
          <t>axe</t>
        </is>
      </c>
      <c r="E18" s="23" t="inlineStr">
        <is>
          <t>infantry</t>
        </is>
      </c>
      <c r="F18" s="23" t="inlineStr">
        <is>
          <t>infantry</t>
        </is>
      </c>
      <c r="G18" s="23" t="inlineStr">
        <is>
          <t>cls_tr_axe</t>
        </is>
      </c>
      <c r="H18" s="23" t="n"/>
      <c r="I18" s="23" t="inlineStr">
        <is>
          <t>state certification</t>
        </is>
      </c>
      <c r="J18" s="23" t="inlineStr">
        <is>
          <t>lv15+, pair-certified</t>
        </is>
      </c>
    </row>
    <row r="19" ht="15" customHeight="1" s="18">
      <c r="A19" s="23" t="inlineStr">
        <is>
          <t>cls_housecarl</t>
        </is>
      </c>
      <c r="B19" s="23" t="inlineStr">
        <is>
          <t>Housecarl</t>
        </is>
      </c>
      <c r="C19" s="23" t="inlineStr">
        <is>
          <t>order</t>
        </is>
      </c>
      <c r="D19" s="23" t="inlineStr">
        <is>
          <t>axe</t>
        </is>
      </c>
      <c r="E19" s="23" t="inlineStr">
        <is>
          <t>armor</t>
        </is>
      </c>
      <c r="F19" s="23" t="inlineStr">
        <is>
          <t>armor</t>
        </is>
      </c>
      <c r="G19" s="23" t="inlineStr">
        <is>
          <t>cls_tr_axe</t>
        </is>
      </c>
      <c r="H19" s="23" t="inlineStr">
        <is>
          <t>Smite</t>
        </is>
      </c>
      <c r="I19" s="23" t="inlineStr">
        <is>
          <t>state certification</t>
        </is>
      </c>
      <c r="J19" s="23" t="inlineStr">
        <is>
          <t>lv15+, pair-certified</t>
        </is>
      </c>
    </row>
    <row r="20" ht="15" customHeight="1" s="18">
      <c r="A20" s="23" t="inlineStr">
        <is>
          <t>cls_axe_knight</t>
        </is>
      </c>
      <c r="B20" s="23" t="inlineStr">
        <is>
          <t>Axe knight</t>
        </is>
      </c>
      <c r="C20" s="23" t="inlineStr">
        <is>
          <t>order</t>
        </is>
      </c>
      <c r="D20" s="23" t="inlineStr">
        <is>
          <t>axe</t>
        </is>
      </c>
      <c r="E20" s="23" t="inlineStr">
        <is>
          <t>riding</t>
        </is>
      </c>
      <c r="F20" s="23" t="inlineStr">
        <is>
          <t>riding</t>
        </is>
      </c>
      <c r="G20" s="23" t="inlineStr">
        <is>
          <t>cls_tr_axe</t>
        </is>
      </c>
      <c r="H20" s="23" t="n"/>
      <c r="I20" s="23" t="inlineStr">
        <is>
          <t>state certification</t>
        </is>
      </c>
      <c r="J20" s="23" t="inlineStr">
        <is>
          <t>lv15+, pair-certified</t>
        </is>
      </c>
    </row>
    <row r="21" ht="15" customHeight="1" s="18">
      <c r="A21" s="23" t="inlineStr">
        <is>
          <t>cls_wyvern_lord</t>
        </is>
      </c>
      <c r="B21" s="23" t="inlineStr">
        <is>
          <t>Wyvern lord</t>
        </is>
      </c>
      <c r="C21" s="23" t="inlineStr">
        <is>
          <t>order</t>
        </is>
      </c>
      <c r="D21" s="23" t="inlineStr">
        <is>
          <t>axe</t>
        </is>
      </c>
      <c r="E21" s="23" t="inlineStr">
        <is>
          <t>flying</t>
        </is>
      </c>
      <c r="F21" s="23" t="inlineStr">
        <is>
          <t>flying</t>
        </is>
      </c>
      <c r="G21" s="23" t="inlineStr">
        <is>
          <t>cls_tr_axe</t>
        </is>
      </c>
      <c r="H21" s="23" t="n"/>
      <c r="I21" s="23" t="inlineStr">
        <is>
          <t>state certification</t>
        </is>
      </c>
      <c r="J21" s="23" t="inlineStr">
        <is>
          <t>lv15+, pair-certified</t>
        </is>
      </c>
    </row>
    <row r="22" ht="15" customHeight="1" s="18">
      <c r="A22" s="23" t="inlineStr">
        <is>
          <t>cls_sniper</t>
        </is>
      </c>
      <c r="B22" s="23" t="inlineStr">
        <is>
          <t>Sniper</t>
        </is>
      </c>
      <c r="C22" s="23" t="inlineStr">
        <is>
          <t>order</t>
        </is>
      </c>
      <c r="D22" s="23" t="inlineStr">
        <is>
          <t>bow</t>
        </is>
      </c>
      <c r="E22" s="23" t="inlineStr">
        <is>
          <t>infantry</t>
        </is>
      </c>
      <c r="F22" s="23" t="inlineStr">
        <is>
          <t>infantry</t>
        </is>
      </c>
      <c r="G22" s="23" t="inlineStr">
        <is>
          <t>cls_tr_bow</t>
        </is>
      </c>
      <c r="H22" s="23" t="n"/>
      <c r="I22" s="23" t="inlineStr">
        <is>
          <t>state certification</t>
        </is>
      </c>
      <c r="J22" s="23" t="inlineStr">
        <is>
          <t>lv15+, pair-certified</t>
        </is>
      </c>
    </row>
    <row r="23" ht="15" customHeight="1" s="18">
      <c r="A23" s="23" t="inlineStr">
        <is>
          <t>cls_pavisier</t>
        </is>
      </c>
      <c r="B23" s="23" t="inlineStr">
        <is>
          <t>Pavisier</t>
        </is>
      </c>
      <c r="C23" s="23" t="inlineStr">
        <is>
          <t>order</t>
        </is>
      </c>
      <c r="D23" s="23" t="inlineStr">
        <is>
          <t>bow</t>
        </is>
      </c>
      <c r="E23" s="23" t="inlineStr">
        <is>
          <t>armor</t>
        </is>
      </c>
      <c r="F23" s="23" t="inlineStr">
        <is>
          <t>armor</t>
        </is>
      </c>
      <c r="G23" s="23" t="inlineStr">
        <is>
          <t>cls_tr_bow</t>
        </is>
      </c>
      <c r="H23" s="23" t="inlineStr">
        <is>
          <t>Stake</t>
        </is>
      </c>
      <c r="I23" s="23" t="inlineStr">
        <is>
          <t>state certification</t>
        </is>
      </c>
      <c r="J23" s="23" t="inlineStr">
        <is>
          <t>lv15+, pair-certified</t>
        </is>
      </c>
    </row>
    <row r="24" ht="15" customHeight="1" s="18">
      <c r="A24" s="23" t="inlineStr">
        <is>
          <t>cls_bow_knight</t>
        </is>
      </c>
      <c r="B24" s="23" t="inlineStr">
        <is>
          <t>Bow knight</t>
        </is>
      </c>
      <c r="C24" s="23" t="inlineStr">
        <is>
          <t>order</t>
        </is>
      </c>
      <c r="D24" s="23" t="inlineStr">
        <is>
          <t>bow</t>
        </is>
      </c>
      <c r="E24" s="23" t="inlineStr">
        <is>
          <t>riding</t>
        </is>
      </c>
      <c r="F24" s="23" t="inlineStr">
        <is>
          <t>riding</t>
        </is>
      </c>
      <c r="G24" s="23" t="inlineStr">
        <is>
          <t>cls_tr_bow</t>
        </is>
      </c>
      <c r="H24" s="23" t="n"/>
      <c r="I24" s="23" t="inlineStr">
        <is>
          <t>state certification</t>
        </is>
      </c>
      <c r="J24" s="23" t="inlineStr">
        <is>
          <t>lv15+, pair-certified</t>
        </is>
      </c>
    </row>
    <row r="25" ht="15" customHeight="1" s="18">
      <c r="A25" s="23" t="inlineStr">
        <is>
          <t>cls_sky_archer</t>
        </is>
      </c>
      <c r="B25" s="23" t="inlineStr">
        <is>
          <t>Sky archer</t>
        </is>
      </c>
      <c r="C25" s="23" t="inlineStr">
        <is>
          <t>order</t>
        </is>
      </c>
      <c r="D25" s="23" t="inlineStr">
        <is>
          <t>bow</t>
        </is>
      </c>
      <c r="E25" s="23" t="inlineStr">
        <is>
          <t>flying</t>
        </is>
      </c>
      <c r="F25" s="23" t="inlineStr">
        <is>
          <t>flying</t>
        </is>
      </c>
      <c r="G25" s="23" t="inlineStr">
        <is>
          <t>cls_tr_bow</t>
        </is>
      </c>
      <c r="H25" s="23" t="n"/>
      <c r="I25" s="23" t="inlineStr">
        <is>
          <t>state certification</t>
        </is>
      </c>
      <c r="J25" s="23" t="inlineStr">
        <is>
          <t>lv15+, pair-certified</t>
        </is>
      </c>
    </row>
    <row r="26" ht="15" customHeight="1" s="18">
      <c r="A26" s="23" t="inlineStr">
        <is>
          <t>cls_grappler</t>
        </is>
      </c>
      <c r="B26" s="23" t="inlineStr">
        <is>
          <t>Grappler</t>
        </is>
      </c>
      <c r="C26" s="23" t="inlineStr">
        <is>
          <t>order</t>
        </is>
      </c>
      <c r="D26" s="23" t="inlineStr">
        <is>
          <t>brawl</t>
        </is>
      </c>
      <c r="E26" s="23" t="inlineStr">
        <is>
          <t>infantry</t>
        </is>
      </c>
      <c r="F26" s="23" t="inlineStr">
        <is>
          <t>infantry</t>
        </is>
      </c>
      <c r="G26" s="23" t="inlineStr">
        <is>
          <t>cls_tr_brawl</t>
        </is>
      </c>
      <c r="H26" s="23" t="n"/>
      <c r="I26" s="23" t="inlineStr">
        <is>
          <t>state certification</t>
        </is>
      </c>
      <c r="J26" s="23" t="inlineStr">
        <is>
          <t>lv15+, pair-certified</t>
        </is>
      </c>
    </row>
    <row r="27" ht="15" customHeight="1" s="18">
      <c r="A27" s="23" t="inlineStr">
        <is>
          <t>cls_war_monk</t>
        </is>
      </c>
      <c r="B27" s="23" t="inlineStr">
        <is>
          <t>War monk</t>
        </is>
      </c>
      <c r="C27" s="23" t="inlineStr">
        <is>
          <t>order</t>
        </is>
      </c>
      <c r="D27" s="23" t="inlineStr">
        <is>
          <t>brawl</t>
        </is>
      </c>
      <c r="E27" s="23" t="inlineStr">
        <is>
          <t>armor</t>
        </is>
      </c>
      <c r="F27" s="23" t="inlineStr">
        <is>
          <t>armor</t>
        </is>
      </c>
      <c r="G27" s="23" t="inlineStr">
        <is>
          <t>cls_tr_brawl</t>
        </is>
      </c>
      <c r="H27" s="23" t="inlineStr">
        <is>
          <t>Resolve</t>
        </is>
      </c>
      <c r="I27" s="23" t="inlineStr">
        <is>
          <t>state certification</t>
        </is>
      </c>
      <c r="J27" s="23" t="inlineStr">
        <is>
          <t>lv15+, pair-certified</t>
        </is>
      </c>
    </row>
    <row r="28" ht="15" customHeight="1" s="18">
      <c r="A28" s="23" t="inlineStr">
        <is>
          <t>cls_warlock</t>
        </is>
      </c>
      <c r="B28" s="23" t="inlineStr">
        <is>
          <t>Warlock</t>
        </is>
      </c>
      <c r="C28" s="23" t="inlineStr">
        <is>
          <t>order</t>
        </is>
      </c>
      <c r="D28" s="23" t="inlineStr">
        <is>
          <t>reason</t>
        </is>
      </c>
      <c r="E28" s="23" t="inlineStr">
        <is>
          <t>infantry</t>
        </is>
      </c>
      <c r="F28" s="23" t="inlineStr">
        <is>
          <t>infantry</t>
        </is>
      </c>
      <c r="G28" s="23" t="inlineStr">
        <is>
          <t>cls_tr_reason</t>
        </is>
      </c>
      <c r="H28" s="23" t="n"/>
      <c r="I28" s="23" t="inlineStr">
        <is>
          <t>state certification</t>
        </is>
      </c>
      <c r="J28" s="23" t="inlineStr">
        <is>
          <t>lv15+, pair-certified</t>
        </is>
      </c>
    </row>
    <row r="29" ht="23.25" customHeight="1" s="18">
      <c r="A29" s="23" t="inlineStr">
        <is>
          <t>cls_baron</t>
        </is>
      </c>
      <c r="B29" s="23" t="inlineStr">
        <is>
          <t>Baron</t>
        </is>
      </c>
      <c r="C29" s="23" t="inlineStr">
        <is>
          <t>order</t>
        </is>
      </c>
      <c r="D29" s="23" t="inlineStr">
        <is>
          <t>reason</t>
        </is>
      </c>
      <c r="E29" s="23" t="inlineStr">
        <is>
          <t>armor</t>
        </is>
      </c>
      <c r="F29" s="23" t="inlineStr">
        <is>
          <t>armor</t>
        </is>
      </c>
      <c r="G29" s="23" t="inlineStr">
        <is>
          <t>cls_tr_reason</t>
        </is>
      </c>
      <c r="H29" s="23" t="inlineStr">
        <is>
          <t>casting tank (FE4 lineage)</t>
        </is>
      </c>
      <c r="I29" s="23" t="inlineStr">
        <is>
          <t>state certification</t>
        </is>
      </c>
      <c r="J29" s="23" t="inlineStr">
        <is>
          <t>lv15+, pair-certified</t>
        </is>
      </c>
    </row>
    <row r="30" ht="15" customHeight="1" s="18">
      <c r="A30" s="23" t="inlineStr">
        <is>
          <t>cls_mage_knight</t>
        </is>
      </c>
      <c r="B30" s="23" t="inlineStr">
        <is>
          <t>Mage knight</t>
        </is>
      </c>
      <c r="C30" s="23" t="inlineStr">
        <is>
          <t>order</t>
        </is>
      </c>
      <c r="D30" s="23" t="inlineStr">
        <is>
          <t>reason</t>
        </is>
      </c>
      <c r="E30" s="23" t="inlineStr">
        <is>
          <t>riding</t>
        </is>
      </c>
      <c r="F30" s="23" t="inlineStr">
        <is>
          <t>riding</t>
        </is>
      </c>
      <c r="G30" s="23" t="inlineStr">
        <is>
          <t>cls_tr_reason</t>
        </is>
      </c>
      <c r="H30" s="23" t="inlineStr">
        <is>
          <t>surveyor kit</t>
        </is>
      </c>
      <c r="I30" s="23" t="inlineStr">
        <is>
          <t>state certification</t>
        </is>
      </c>
      <c r="J30" s="23" t="inlineStr">
        <is>
          <t>lv15+, pair-certified</t>
        </is>
      </c>
    </row>
    <row r="31" ht="15" customHeight="1" s="18">
      <c r="A31" s="23" t="inlineStr">
        <is>
          <t>cls_bishop</t>
        </is>
      </c>
      <c r="B31" s="23" t="inlineStr">
        <is>
          <t>Bishop</t>
        </is>
      </c>
      <c r="C31" s="23" t="inlineStr">
        <is>
          <t>order</t>
        </is>
      </c>
      <c r="D31" s="23" t="inlineStr">
        <is>
          <t>faith</t>
        </is>
      </c>
      <c r="E31" s="23" t="inlineStr">
        <is>
          <t>infantry</t>
        </is>
      </c>
      <c r="F31" s="23" t="inlineStr">
        <is>
          <t>infantry</t>
        </is>
      </c>
      <c r="G31" s="23" t="inlineStr">
        <is>
          <t>cls_tr_faith</t>
        </is>
      </c>
      <c r="H31" s="23" t="n"/>
      <c r="I31" s="23" t="inlineStr">
        <is>
          <t>state certification</t>
        </is>
      </c>
      <c r="J31" s="23" t="inlineStr">
        <is>
          <t>lv15+, pair-certified</t>
        </is>
      </c>
    </row>
    <row r="32" ht="15" customHeight="1" s="18">
      <c r="A32" s="23" t="inlineStr">
        <is>
          <t>cls_great_shield</t>
        </is>
      </c>
      <c r="B32" s="23" t="inlineStr">
        <is>
          <t>Great shield</t>
        </is>
      </c>
      <c r="C32" s="23" t="inlineStr">
        <is>
          <t>order</t>
        </is>
      </c>
      <c r="D32" s="23" t="inlineStr">
        <is>
          <t>faith</t>
        </is>
      </c>
      <c r="E32" s="23" t="inlineStr">
        <is>
          <t>armor</t>
        </is>
      </c>
      <c r="F32" s="23" t="inlineStr">
        <is>
          <t>armor</t>
        </is>
      </c>
      <c r="G32" s="23" t="inlineStr">
        <is>
          <t>cls_tr_faith</t>
        </is>
      </c>
      <c r="H32" s="23" t="inlineStr">
        <is>
          <t>Pavise/Aegis</t>
        </is>
      </c>
      <c r="I32" s="23" t="inlineStr">
        <is>
          <t>state certification</t>
        </is>
      </c>
      <c r="J32" s="23" t="inlineStr">
        <is>
          <t>lv15+, pair-certified</t>
        </is>
      </c>
    </row>
    <row r="33" ht="15" customHeight="1" s="18">
      <c r="A33" s="23" t="inlineStr">
        <is>
          <t>cls_valkyrie</t>
        </is>
      </c>
      <c r="B33" s="23" t="inlineStr">
        <is>
          <t>Valkyrie</t>
        </is>
      </c>
      <c r="C33" s="23" t="inlineStr">
        <is>
          <t>order</t>
        </is>
      </c>
      <c r="D33" s="23" t="inlineStr">
        <is>
          <t>faith</t>
        </is>
      </c>
      <c r="E33" s="23" t="inlineStr">
        <is>
          <t>riding</t>
        </is>
      </c>
      <c r="F33" s="23" t="inlineStr">
        <is>
          <t>riding</t>
        </is>
      </c>
      <c r="G33" s="23" t="inlineStr">
        <is>
          <t>cls_tr_faith</t>
        </is>
      </c>
      <c r="H33" s="23" t="inlineStr">
        <is>
          <t>Paragon</t>
        </is>
      </c>
      <c r="I33" s="23" t="inlineStr">
        <is>
          <t>state certification</t>
        </is>
      </c>
      <c r="J33" s="23" t="inlineStr">
        <is>
          <t>lv15+, pair-certified</t>
        </is>
      </c>
    </row>
    <row r="34" ht="15" customHeight="1" s="18">
      <c r="A34" s="23" t="inlineStr">
        <is>
          <t>cls_seraph_knight</t>
        </is>
      </c>
      <c r="B34" s="23" t="inlineStr">
        <is>
          <t>Seraph knight</t>
        </is>
      </c>
      <c r="C34" s="23" t="inlineStr">
        <is>
          <t>order</t>
        </is>
      </c>
      <c r="D34" s="23" t="inlineStr">
        <is>
          <t>faith</t>
        </is>
      </c>
      <c r="E34" s="23" t="inlineStr">
        <is>
          <t>flying</t>
        </is>
      </c>
      <c r="F34" s="23" t="inlineStr">
        <is>
          <t>flying</t>
        </is>
      </c>
      <c r="G34" s="23" t="inlineStr">
        <is>
          <t>cls_tr_faith</t>
        </is>
      </c>
      <c r="H34" s="23" t="n"/>
      <c r="I34" s="23" t="inlineStr">
        <is>
          <t>state certification</t>
        </is>
      </c>
      <c r="J34" s="23" t="inlineStr">
        <is>
          <t>lv15+, pair-certified</t>
        </is>
      </c>
    </row>
    <row r="35" ht="15" customHeight="1" s="18">
      <c r="A35" s="23" t="inlineStr">
        <is>
          <t>cls_ferryman</t>
        </is>
      </c>
      <c r="B35" s="23" t="inlineStr">
        <is>
          <t>Ferryman</t>
        </is>
      </c>
      <c r="C35" s="23" t="inlineStr">
        <is>
          <t>hybrid</t>
        </is>
      </c>
      <c r="D35" s="23" t="inlineStr">
        <is>
          <t>axe</t>
        </is>
      </c>
      <c r="E35" s="23" t="inlineStr">
        <is>
          <t>faith</t>
        </is>
      </c>
      <c r="F35" s="23" t="inlineStr">
        <is>
          <t>infantry</t>
        </is>
      </c>
      <c r="G35" s="23" t="inlineStr">
        <is>
          <t>cls_tr_axe</t>
        </is>
      </c>
      <c r="H35" s="23" t="n"/>
      <c r="I35" s="23" t="inlineStr">
        <is>
          <t>setting-new</t>
        </is>
      </c>
      <c r="J35" s="23" t="inlineStr">
        <is>
          <t>carry</t>
        </is>
      </c>
    </row>
    <row r="36" ht="15" customHeight="1" s="18">
      <c r="A36" s="23" t="inlineStr">
        <is>
          <t>cls_pardoner</t>
        </is>
      </c>
      <c r="B36" s="23" t="inlineStr">
        <is>
          <t>Pardoner</t>
        </is>
      </c>
      <c r="C36" s="23" t="inlineStr">
        <is>
          <t>hybrid</t>
        </is>
      </c>
      <c r="D36" s="23" t="inlineStr">
        <is>
          <t>bow</t>
        </is>
      </c>
      <c r="E36" s="23" t="inlineStr">
        <is>
          <t>faith</t>
        </is>
      </c>
      <c r="F36" s="23" t="inlineStr">
        <is>
          <t>infantry</t>
        </is>
      </c>
      <c r="G36" s="23" t="inlineStr">
        <is>
          <t>cls_tr_bow</t>
        </is>
      </c>
      <c r="H36" s="23" t="n"/>
      <c r="I36" s="23" t="inlineStr">
        <is>
          <t>setting-new</t>
        </is>
      </c>
      <c r="J36" s="23" t="inlineStr">
        <is>
          <t>seal not kill</t>
        </is>
      </c>
    </row>
    <row r="37" ht="15" customHeight="1" s="18">
      <c r="A37" s="23" t="inlineStr">
        <is>
          <t>cls_ash_ascetic</t>
        </is>
      </c>
      <c r="B37" s="23" t="inlineStr">
        <is>
          <t>Ash Ascetic</t>
        </is>
      </c>
      <c r="C37" s="23" t="inlineStr">
        <is>
          <t>hybrid</t>
        </is>
      </c>
      <c r="D37" s="23" t="inlineStr">
        <is>
          <t>brawl</t>
        </is>
      </c>
      <c r="E37" s="23" t="inlineStr">
        <is>
          <t>reason</t>
        </is>
      </c>
      <c r="F37" s="23" t="inlineStr">
        <is>
          <t>infantry</t>
        </is>
      </c>
      <c r="G37" s="23" t="inlineStr">
        <is>
          <t>cls_tr_brawl</t>
        </is>
      </c>
      <c r="H37" s="23" t="n"/>
      <c r="I37" s="23" t="inlineStr">
        <is>
          <t>setting-new</t>
        </is>
      </c>
      <c r="J37" s="23" t="inlineStr">
        <is>
          <t>the Stepped Coast</t>
        </is>
      </c>
    </row>
    <row r="38" ht="23.25" customHeight="1" s="18">
      <c r="A38" s="23" t="inlineStr">
        <is>
          <t>cls_miasma_warden</t>
        </is>
      </c>
      <c r="B38" s="23" t="inlineStr">
        <is>
          <t>Miasma Warden</t>
        </is>
      </c>
      <c r="C38" s="23" t="inlineStr">
        <is>
          <t>hybrid</t>
        </is>
      </c>
      <c r="D38" s="23" t="inlineStr">
        <is>
          <t>reason</t>
        </is>
      </c>
      <c r="E38" s="23" t="inlineStr">
        <is>
          <t>faith</t>
        </is>
      </c>
      <c r="F38" s="23" t="inlineStr">
        <is>
          <t>infantry</t>
        </is>
      </c>
      <c r="G38" s="23" t="inlineStr">
        <is>
          <t>cls_tr_reason</t>
        </is>
      </c>
      <c r="H38" s="23" t="n"/>
      <c r="I38" s="23" t="inlineStr">
        <is>
          <t>setting-new</t>
        </is>
      </c>
      <c r="J38" s="23" t="inlineStr">
        <is>
          <t>born of the plague; Maren's destination</t>
        </is>
      </c>
    </row>
    <row r="39" ht="15" customHeight="1" s="18">
      <c r="A39" s="23" t="inlineStr">
        <is>
          <t>cls_footpad</t>
        </is>
      </c>
      <c r="B39" s="23" t="inlineStr">
        <is>
          <t>Footpad</t>
        </is>
      </c>
      <c r="C39" s="23" t="inlineStr">
        <is>
          <t>shadow</t>
        </is>
      </c>
      <c r="D39" s="23" t="inlineStr">
        <is>
          <t>sword</t>
        </is>
      </c>
      <c r="E39" s="23" t="inlineStr">
        <is>
          <t>none</t>
        </is>
      </c>
      <c r="F39" s="23" t="inlineStr">
        <is>
          <t>infantry</t>
        </is>
      </c>
      <c r="G39" s="23" t="inlineStr">
        <is>
          <t>cls_commoner</t>
        </is>
      </c>
      <c r="H39" s="23" t="n"/>
      <c r="I39" s="23" t="inlineStr">
        <is>
          <t>uncertified</t>
        </is>
      </c>
      <c r="J39" s="23" t="inlineStr">
        <is>
          <t>off-matrix by definition</t>
        </is>
      </c>
    </row>
    <row r="40" ht="15" customHeight="1" s="18">
      <c r="A40" s="23" t="inlineStr">
        <is>
          <t>cls_thief</t>
        </is>
      </c>
      <c r="B40" s="23" t="inlineStr">
        <is>
          <t>Thief</t>
        </is>
      </c>
      <c r="C40" s="23" t="inlineStr">
        <is>
          <t>shadow</t>
        </is>
      </c>
      <c r="D40" s="23" t="inlineStr">
        <is>
          <t>sword</t>
        </is>
      </c>
      <c r="E40" s="23" t="inlineStr">
        <is>
          <t>none</t>
        </is>
      </c>
      <c r="F40" s="23" t="inlineStr">
        <is>
          <t>infantry</t>
        </is>
      </c>
      <c r="G40" s="23" t="inlineStr">
        <is>
          <t>cls_footpad</t>
        </is>
      </c>
      <c r="H40" s="23" t="n"/>
      <c r="I40" s="23" t="inlineStr">
        <is>
          <t>uncertified</t>
        </is>
      </c>
      <c r="J40" s="23" t="inlineStr">
        <is>
          <t>off-matrix by definition</t>
        </is>
      </c>
    </row>
    <row r="41" ht="15" customHeight="1" s="18">
      <c r="A41" s="23" t="inlineStr">
        <is>
          <t>cls_assassin</t>
        </is>
      </c>
      <c r="B41" s="23" t="inlineStr">
        <is>
          <t>Assassin</t>
        </is>
      </c>
      <c r="C41" s="23" t="inlineStr">
        <is>
          <t>shadow</t>
        </is>
      </c>
      <c r="D41" s="23" t="inlineStr">
        <is>
          <t>sword</t>
        </is>
      </c>
      <c r="E41" s="23" t="inlineStr">
        <is>
          <t>none</t>
        </is>
      </c>
      <c r="F41" s="23" t="inlineStr">
        <is>
          <t>infantry</t>
        </is>
      </c>
      <c r="G41" s="23" t="inlineStr">
        <is>
          <t>cls_thief</t>
        </is>
      </c>
      <c r="H41" s="23" t="n"/>
      <c r="I41" s="23" t="inlineStr">
        <is>
          <t>uncertified</t>
        </is>
      </c>
      <c r="J41" s="23" t="inlineStr">
        <is>
          <t>off-matrix by definition</t>
        </is>
      </c>
    </row>
    <row r="42" ht="15" customHeight="1" s="18">
      <c r="A42" s="23" t="inlineStr">
        <is>
          <t>cls_trickster</t>
        </is>
      </c>
      <c r="B42" s="23" t="inlineStr">
        <is>
          <t>Trickster</t>
        </is>
      </c>
      <c r="C42" s="23" t="inlineStr">
        <is>
          <t>shadow</t>
        </is>
      </c>
      <c r="D42" s="23" t="inlineStr">
        <is>
          <t>sword</t>
        </is>
      </c>
      <c r="E42" s="23" t="inlineStr">
        <is>
          <t>none</t>
        </is>
      </c>
      <c r="F42" s="23" t="inlineStr">
        <is>
          <t>infantry</t>
        </is>
      </c>
      <c r="G42" s="23" t="inlineStr">
        <is>
          <t>cls_thief</t>
        </is>
      </c>
      <c r="H42" s="23" t="n"/>
      <c r="I42" s="23" t="inlineStr">
        <is>
          <t>uncertified</t>
        </is>
      </c>
      <c r="J42" s="23" t="inlineStr">
        <is>
          <t>off-matrix by definition</t>
        </is>
      </c>
    </row>
    <row r="43" ht="15" customHeight="1" s="18">
      <c r="A43" s="23" t="inlineStr">
        <is>
          <t>cls_strategist</t>
        </is>
      </c>
      <c r="B43" s="23" t="inlineStr">
        <is>
          <t>Strategist</t>
        </is>
      </c>
      <c r="C43" s="23" t="inlineStr">
        <is>
          <t>personal</t>
        </is>
      </c>
      <c r="D43" s="23" t="inlineStr">
        <is>
          <t>sword</t>
        </is>
      </c>
      <c r="E43" s="23" t="inlineStr">
        <is>
          <t>authority</t>
        </is>
      </c>
      <c r="F43" s="23" t="inlineStr">
        <is>
          <t>infantry</t>
        </is>
      </c>
      <c r="G43" s="23" t="n"/>
      <c r="H43" s="23" t="n"/>
      <c r="I43" s="23" t="inlineStr">
        <is>
          <t>no paperwork exists</t>
        </is>
      </c>
      <c r="J43" s="23" t="inlineStr">
        <is>
          <t>avatar; orders not swords</t>
        </is>
      </c>
    </row>
    <row r="44" ht="23.25" customHeight="1" s="18">
      <c r="A44" s="23" t="inlineStr">
        <is>
          <t>cls_factor</t>
        </is>
      </c>
      <c r="B44" s="23" t="inlineStr">
        <is>
          <t>Factor</t>
        </is>
      </c>
      <c r="C44" s="23" t="inlineStr">
        <is>
          <t>personal</t>
        </is>
      </c>
      <c r="D44" s="23" t="inlineStr">
        <is>
          <t>none</t>
        </is>
      </c>
      <c r="E44" s="23" t="inlineStr">
        <is>
          <t>none</t>
        </is>
      </c>
      <c r="F44" s="23" t="inlineStr">
        <is>
          <t>infantry</t>
        </is>
      </c>
      <c r="G44" s="23" t="n"/>
      <c r="H44" s="23" t="n"/>
      <c r="I44" s="23" t="inlineStr">
        <is>
          <t>no paperwork exists</t>
        </is>
      </c>
      <c r="J44" s="23" t="inlineStr">
        <is>
          <t>Kheldar; end-map income, bribe one enemy to neutral</t>
        </is>
      </c>
    </row>
    <row r="45" ht="15" customHeight="1" s="18">
      <c r="A45" s="23" t="inlineStr">
        <is>
          <t>cls_bounty_hunter</t>
        </is>
      </c>
      <c r="B45" s="23" t="inlineStr">
        <is>
          <t>Bounty hunter</t>
        </is>
      </c>
      <c r="C45" s="23" t="inlineStr">
        <is>
          <t>personal</t>
        </is>
      </c>
      <c r="D45" s="23" t="inlineStr">
        <is>
          <t>bow</t>
        </is>
      </c>
      <c r="E45" s="23" t="inlineStr">
        <is>
          <t>none</t>
        </is>
      </c>
      <c r="F45" s="23" t="inlineStr">
        <is>
          <t>infantry</t>
        </is>
      </c>
      <c r="G45" s="23" t="n"/>
      <c r="H45" s="23" t="n"/>
      <c r="I45" s="23" t="inlineStr">
        <is>
          <t>no paperwork exists</t>
        </is>
      </c>
      <c r="J45" s="23" t="inlineStr">
        <is>
          <t>Gunnar; Capture + Shove mercy kit</t>
        </is>
      </c>
    </row>
    <row r="46" ht="15" customHeight="1" s="18">
      <c r="A46" s="23" t="inlineStr">
        <is>
          <t>cls_quartermaster</t>
        </is>
      </c>
      <c r="B46" s="23" t="inlineStr">
        <is>
          <t>Quartermaster</t>
        </is>
      </c>
      <c r="C46" s="23" t="inlineStr">
        <is>
          <t>personal</t>
        </is>
      </c>
      <c r="D46" s="23" t="inlineStr">
        <is>
          <t>none</t>
        </is>
      </c>
      <c r="E46" s="23" t="inlineStr">
        <is>
          <t>none</t>
        </is>
      </c>
      <c r="F46" s="23" t="inlineStr">
        <is>
          <t>infantry</t>
        </is>
      </c>
      <c r="G46" s="23" t="n"/>
      <c r="H46" s="23" t="n"/>
      <c r="I46" s="23" t="inlineStr">
        <is>
          <t>no paperwork exists</t>
        </is>
      </c>
      <c r="J46" s="23" t="inlineStr">
        <is>
          <t>Merlinus revival; one per column</t>
        </is>
      </c>
    </row>
    <row r="47" ht="15" customHeight="1" s="18">
      <c r="A47" s="23" t="inlineStr">
        <is>
          <t>cls_martyr</t>
        </is>
      </c>
      <c r="B47" s="23" t="inlineStr">
        <is>
          <t>Martyr</t>
        </is>
      </c>
      <c r="C47" s="23" t="inlineStr">
        <is>
          <t>personal</t>
        </is>
      </c>
      <c r="D47" s="23" t="inlineStr">
        <is>
          <t>faith</t>
        </is>
      </c>
      <c r="E47" s="23" t="inlineStr">
        <is>
          <t>none</t>
        </is>
      </c>
      <c r="F47" s="23" t="inlineStr">
        <is>
          <t>infantry</t>
        </is>
      </c>
      <c r="G47" s="23" t="n"/>
      <c r="H47" s="23" t="n"/>
      <c r="I47" s="23" t="inlineStr">
        <is>
          <t>no paperwork exists</t>
        </is>
      </c>
      <c r="J47" s="23" t="inlineStr">
        <is>
          <t>Provoke + Miracle + Resolve</t>
        </is>
      </c>
    </row>
    <row r="48" ht="15" customHeight="1" s="18">
      <c r="A48" s="23" t="inlineStr">
        <is>
          <t>cls_skald</t>
        </is>
      </c>
      <c r="B48" s="23" t="inlineStr">
        <is>
          <t>Skald</t>
        </is>
      </c>
      <c r="C48" s="23" t="inlineStr">
        <is>
          <t>personal</t>
        </is>
      </c>
      <c r="D48" s="23" t="inlineStr">
        <is>
          <t>none</t>
        </is>
      </c>
      <c r="E48" s="23" t="inlineStr">
        <is>
          <t>none</t>
        </is>
      </c>
      <c r="F48" s="23" t="inlineStr">
        <is>
          <t>infantry</t>
        </is>
      </c>
      <c r="G48" s="23" t="n"/>
      <c r="H48" s="23" t="n"/>
      <c r="I48" s="23" t="inlineStr">
        <is>
          <t>no paperwork exists</t>
        </is>
      </c>
      <c r="J48" s="23" t="inlineStr">
        <is>
          <t>Edda; Refresh + Steal + epithet aura</t>
        </is>
      </c>
    </row>
    <row r="49" ht="15" customHeight="1" s="18">
      <c r="A49" s="23" t="inlineStr">
        <is>
          <t>cls_sapper</t>
        </is>
      </c>
      <c r="B49" s="23" t="inlineStr">
        <is>
          <t>Sapper</t>
        </is>
      </c>
      <c r="C49" s="23" t="inlineStr">
        <is>
          <t>personal</t>
        </is>
      </c>
      <c r="D49" s="23" t="inlineStr">
        <is>
          <t>none</t>
        </is>
      </c>
      <c r="E49" s="23" t="inlineStr">
        <is>
          <t>none</t>
        </is>
      </c>
      <c r="F49" s="23" t="inlineStr">
        <is>
          <t>infantry</t>
        </is>
      </c>
      <c r="G49" s="23" t="n"/>
      <c r="H49" s="23" t="n"/>
      <c r="I49" s="23" t="inlineStr">
        <is>
          <t>no paperwork exists</t>
        </is>
      </c>
      <c r="J49" s="23" t="inlineStr">
        <is>
          <t>IN DRAWER, not yet placed</t>
        </is>
      </c>
    </row>
    <row r="50" ht="15" customHeight="1" s="18">
      <c r="A50" s="23" t="inlineStr">
        <is>
          <t>cls_bogatyr</t>
        </is>
      </c>
      <c r="B50" s="23" t="inlineStr">
        <is>
          <t>Bogatyr</t>
        </is>
      </c>
      <c r="C50" s="23" t="inlineStr">
        <is>
          <t>paragon</t>
        </is>
      </c>
      <c r="D50" s="23" t="inlineStr">
        <is>
          <t>lance</t>
        </is>
      </c>
      <c r="E50" s="23" t="inlineStr">
        <is>
          <t>none</t>
        </is>
      </c>
      <c r="F50" s="23" t="inlineStr">
        <is>
          <t>riding</t>
        </is>
      </c>
      <c r="G50" s="23" t="n"/>
      <c r="H50" s="23" t="inlineStr">
        <is>
          <t>Charge</t>
        </is>
      </c>
      <c r="I50" s="23" t="inlineStr">
        <is>
          <t>Slavic</t>
        </is>
      </c>
      <c r="J50" s="23" t="inlineStr">
        <is>
          <t>lv30+, deed-gated</t>
        </is>
      </c>
    </row>
    <row r="51" ht="15" customHeight="1" s="18">
      <c r="A51" s="23" t="inlineStr">
        <is>
          <t>cls_fianna</t>
        </is>
      </c>
      <c r="B51" s="23" t="inlineStr">
        <is>
          <t>Fianna</t>
        </is>
      </c>
      <c r="C51" s="23" t="inlineStr">
        <is>
          <t>paragon</t>
        </is>
      </c>
      <c r="D51" s="23" t="inlineStr">
        <is>
          <t>sword</t>
        </is>
      </c>
      <c r="E51" s="23" t="inlineStr">
        <is>
          <t>bow</t>
        </is>
      </c>
      <c r="F51" s="23" t="inlineStr">
        <is>
          <t>infantry</t>
        </is>
      </c>
      <c r="G51" s="23" t="n"/>
      <c r="H51" s="23" t="inlineStr">
        <is>
          <t>Astra</t>
        </is>
      </c>
      <c r="I51" s="23" t="inlineStr">
        <is>
          <t>Celtic</t>
        </is>
      </c>
      <c r="J51" s="23" t="inlineStr">
        <is>
          <t>lv30+, deed-gated</t>
        </is>
      </c>
    </row>
    <row r="52" ht="15" customHeight="1" s="18">
      <c r="A52" s="23" t="inlineStr">
        <is>
          <t>cls_donso</t>
        </is>
      </c>
      <c r="B52" s="23" t="inlineStr">
        <is>
          <t>Donso</t>
        </is>
      </c>
      <c r="C52" s="23" t="inlineStr">
        <is>
          <t>paragon</t>
        </is>
      </c>
      <c r="D52" s="23" t="inlineStr">
        <is>
          <t>bow</t>
        </is>
      </c>
      <c r="E52" s="23" t="inlineStr">
        <is>
          <t>none</t>
        </is>
      </c>
      <c r="F52" s="23" t="inlineStr">
        <is>
          <t>infantry</t>
        </is>
      </c>
      <c r="G52" s="23" t="n"/>
      <c r="H52" s="23" t="inlineStr">
        <is>
          <t>Deadeye</t>
        </is>
      </c>
      <c r="I52" s="23" t="inlineStr">
        <is>
          <t>Mande</t>
        </is>
      </c>
      <c r="J52" s="23" t="inlineStr">
        <is>
          <t>lv30+, deed-gated</t>
        </is>
      </c>
    </row>
    <row r="53" ht="15" customHeight="1" s="18">
      <c r="A53" s="23" t="inlineStr">
        <is>
          <t>cls_toa</t>
        </is>
      </c>
      <c r="B53" s="23" t="inlineStr">
        <is>
          <t>Toa</t>
        </is>
      </c>
      <c r="C53" s="23" t="inlineStr">
        <is>
          <t>paragon</t>
        </is>
      </c>
      <c r="D53" s="23" t="inlineStr">
        <is>
          <t>brawl</t>
        </is>
      </c>
      <c r="E53" s="23" t="inlineStr">
        <is>
          <t>none</t>
        </is>
      </c>
      <c r="F53" s="23" t="inlineStr">
        <is>
          <t>infantry</t>
        </is>
      </c>
      <c r="G53" s="23" t="n"/>
      <c r="H53" s="23" t="inlineStr">
        <is>
          <t>Fierce Iron Fist</t>
        </is>
      </c>
      <c r="I53" s="23" t="inlineStr">
        <is>
          <t>Polynesian</t>
        </is>
      </c>
      <c r="J53" s="23" t="inlineStr">
        <is>
          <t>lv30+, deed-gated</t>
        </is>
      </c>
    </row>
    <row r="54" ht="15" customHeight="1" s="18">
      <c r="A54" s="23" t="inlineStr">
        <is>
          <t>cls_jaguar_knight</t>
        </is>
      </c>
      <c r="B54" s="23" t="inlineStr">
        <is>
          <t>Jaguar knight</t>
        </is>
      </c>
      <c r="C54" s="23" t="inlineStr">
        <is>
          <t>paragon</t>
        </is>
      </c>
      <c r="D54" s="23" t="inlineStr">
        <is>
          <t>axe</t>
        </is>
      </c>
      <c r="E54" s="23" t="inlineStr">
        <is>
          <t>brawl</t>
        </is>
      </c>
      <c r="F54" s="23" t="inlineStr">
        <is>
          <t>infantry</t>
        </is>
      </c>
      <c r="G54" s="23" t="n"/>
      <c r="H54" s="23" t="inlineStr">
        <is>
          <t>Colossus</t>
        </is>
      </c>
      <c r="I54" s="23" t="inlineStr">
        <is>
          <t>Aztec</t>
        </is>
      </c>
      <c r="J54" s="23" t="inlineStr">
        <is>
          <t>lv30+, deed-gated</t>
        </is>
      </c>
    </row>
    <row r="55" ht="15" customHeight="1" s="18">
      <c r="A55" s="23" t="inlineStr">
        <is>
          <t>cls_eagle_knight</t>
        </is>
      </c>
      <c r="B55" s="23" t="inlineStr">
        <is>
          <t>Eagle knight</t>
        </is>
      </c>
      <c r="C55" s="23" t="inlineStr">
        <is>
          <t>paragon</t>
        </is>
      </c>
      <c r="D55" s="23" t="inlineStr">
        <is>
          <t>axe</t>
        </is>
      </c>
      <c r="E55" s="23" t="inlineStr">
        <is>
          <t>none</t>
        </is>
      </c>
      <c r="F55" s="23" t="inlineStr">
        <is>
          <t>flying</t>
        </is>
      </c>
      <c r="G55" s="23" t="n"/>
      <c r="H55" s="23" t="inlineStr">
        <is>
          <t>Stun</t>
        </is>
      </c>
      <c r="I55" s="23" t="inlineStr">
        <is>
          <t>Aztec</t>
        </is>
      </c>
      <c r="J55" s="23" t="inlineStr">
        <is>
          <t>lv30+, deed-gated</t>
        </is>
      </c>
    </row>
    <row r="56" ht="15" customHeight="1" s="18">
      <c r="A56" s="23" t="inlineStr">
        <is>
          <t>cls_tzitzimitl</t>
        </is>
      </c>
      <c r="B56" s="23" t="inlineStr">
        <is>
          <t>Tzitzimitl</t>
        </is>
      </c>
      <c r="C56" s="23" t="inlineStr">
        <is>
          <t>paragon</t>
        </is>
      </c>
      <c r="D56" s="23" t="inlineStr">
        <is>
          <t>reason</t>
        </is>
      </c>
      <c r="E56" s="23" t="inlineStr">
        <is>
          <t>none</t>
        </is>
      </c>
      <c r="F56" s="23" t="inlineStr">
        <is>
          <t>flying</t>
        </is>
      </c>
      <c r="G56" s="23" t="n"/>
      <c r="H56" s="23" t="inlineStr">
        <is>
          <t>Corrosion</t>
        </is>
      </c>
      <c r="I56" s="23" t="inlineStr">
        <is>
          <t>founded in-game</t>
        </is>
      </c>
      <c r="J56" s="23" t="inlineStr">
        <is>
          <t>lv30+, deed-gated</t>
        </is>
      </c>
    </row>
    <row r="58" ht="15" customHeight="1" s="18">
      <c r="A58" s="25" t="inlineStr">
        <is>
          <t>Deliberate permanent gaps: brawl+riding, brawl+flying. reason+flying is a founded gap (broken by paralogue into Tzitzimitl). Galeforce permanently banned.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8" customWidth="1" style="17" min="2" max="9"/>
    <col width="13" customWidth="1" style="17" min="10" max="10"/>
  </cols>
  <sheetData>
    <row r="1" ht="30" customHeight="1" s="18">
      <c r="A1" s="21" t="inlineStr">
        <is>
          <t>profile_id</t>
        </is>
      </c>
      <c r="B1" s="21" t="inlineStr">
        <is>
          <t>hp</t>
        </is>
      </c>
      <c r="C1" s="21" t="inlineStr">
        <is>
          <t>str</t>
        </is>
      </c>
      <c r="D1" s="21" t="inlineStr">
        <is>
          <t>mag</t>
        </is>
      </c>
      <c r="E1" s="21" t="inlineStr">
        <is>
          <t>dex</t>
        </is>
      </c>
      <c r="F1" s="21" t="inlineStr">
        <is>
          <t>spd</t>
        </is>
      </c>
      <c r="G1" s="21" t="inlineStr">
        <is>
          <t>lck</t>
        </is>
      </c>
      <c r="H1" s="21" t="inlineStr">
        <is>
          <t>def</t>
        </is>
      </c>
      <c r="I1" s="21" t="inlineStr">
        <is>
          <t>res</t>
        </is>
      </c>
      <c r="J1" s="21" t="inlineStr">
        <is>
          <t>total_check</t>
        </is>
      </c>
    </row>
    <row r="2" ht="15" customHeight="1" s="18">
      <c r="A2" s="23" t="inlineStr">
        <is>
          <t>gp_bruiser</t>
        </is>
      </c>
      <c r="B2" s="23" t="n">
        <v>55</v>
      </c>
      <c r="C2" s="23" t="n">
        <v>55</v>
      </c>
      <c r="D2" s="23" t="n">
        <v>5</v>
      </c>
      <c r="E2" s="23" t="n">
        <v>40</v>
      </c>
      <c r="F2" s="23" t="n">
        <v>40</v>
      </c>
      <c r="G2" s="23" t="n">
        <v>35</v>
      </c>
      <c r="H2" s="23" t="n">
        <v>40</v>
      </c>
      <c r="I2" s="23" t="n">
        <v>20</v>
      </c>
      <c r="J2" s="23" t="n">
        <v>290</v>
      </c>
    </row>
    <row r="3" ht="15" customHeight="1" s="18">
      <c r="A3" s="23" t="inlineStr">
        <is>
          <t>gp_armor</t>
        </is>
      </c>
      <c r="B3" s="23" t="n">
        <v>60</v>
      </c>
      <c r="C3" s="23" t="n">
        <v>50</v>
      </c>
      <c r="D3" s="23" t="n">
        <v>5</v>
      </c>
      <c r="E3" s="23" t="n">
        <v>35</v>
      </c>
      <c r="F3" s="23" t="n">
        <v>25</v>
      </c>
      <c r="G3" s="23" t="n">
        <v>30</v>
      </c>
      <c r="H3" s="23" t="n">
        <v>60</v>
      </c>
      <c r="I3" s="23" t="n">
        <v>25</v>
      </c>
      <c r="J3" s="23" t="n">
        <v>290</v>
      </c>
    </row>
    <row r="4" ht="15" customHeight="1" s="18">
      <c r="A4" s="23" t="inlineStr">
        <is>
          <t>gp_cavalry</t>
        </is>
      </c>
      <c r="B4" s="23" t="n">
        <v>50</v>
      </c>
      <c r="C4" s="23" t="n">
        <v>45</v>
      </c>
      <c r="D4" s="23" t="n">
        <v>10</v>
      </c>
      <c r="E4" s="23" t="n">
        <v>45</v>
      </c>
      <c r="F4" s="23" t="n">
        <v>50</v>
      </c>
      <c r="G4" s="23" t="n">
        <v>40</v>
      </c>
      <c r="H4" s="23" t="n">
        <v>35</v>
      </c>
      <c r="I4" s="23" t="n">
        <v>25</v>
      </c>
      <c r="J4" s="23" t="n">
        <v>300</v>
      </c>
    </row>
    <row r="5" ht="15" customHeight="1" s="18">
      <c r="A5" s="23" t="inlineStr">
        <is>
          <t>gp_flier</t>
        </is>
      </c>
      <c r="B5" s="23" t="n">
        <v>45</v>
      </c>
      <c r="C5" s="23" t="n">
        <v>40</v>
      </c>
      <c r="D5" s="23" t="n">
        <v>15</v>
      </c>
      <c r="E5" s="23" t="n">
        <v>50</v>
      </c>
      <c r="F5" s="23" t="n">
        <v>60</v>
      </c>
      <c r="G5" s="23" t="n">
        <v>40</v>
      </c>
      <c r="H5" s="23" t="n">
        <v>25</v>
      </c>
      <c r="I5" s="23" t="n">
        <v>30</v>
      </c>
      <c r="J5" s="23" t="n">
        <v>305</v>
      </c>
    </row>
    <row r="6" ht="15" customHeight="1" s="18">
      <c r="A6" s="23" t="inlineStr">
        <is>
          <t>gp_archer</t>
        </is>
      </c>
      <c r="B6" s="23" t="n">
        <v>45</v>
      </c>
      <c r="C6" s="23" t="n">
        <v>45</v>
      </c>
      <c r="D6" s="23" t="n">
        <v>10</v>
      </c>
      <c r="E6" s="23" t="n">
        <v>55</v>
      </c>
      <c r="F6" s="23" t="n">
        <v>50</v>
      </c>
      <c r="G6" s="23" t="n">
        <v>40</v>
      </c>
      <c r="H6" s="23" t="n">
        <v>30</v>
      </c>
      <c r="I6" s="23" t="n">
        <v>25</v>
      </c>
      <c r="J6" s="23" t="n">
        <v>300</v>
      </c>
    </row>
    <row r="7" ht="15" customHeight="1" s="18">
      <c r="A7" s="23" t="inlineStr">
        <is>
          <t>gp_mage</t>
        </is>
      </c>
      <c r="B7" s="23" t="n">
        <v>40</v>
      </c>
      <c r="C7" s="23" t="n">
        <v>10</v>
      </c>
      <c r="D7" s="23" t="n">
        <v>55</v>
      </c>
      <c r="E7" s="23" t="n">
        <v>45</v>
      </c>
      <c r="F7" s="23" t="n">
        <v>45</v>
      </c>
      <c r="G7" s="23" t="n">
        <v>35</v>
      </c>
      <c r="H7" s="23" t="n">
        <v>25</v>
      </c>
      <c r="I7" s="23" t="n">
        <v>45</v>
      </c>
      <c r="J7" s="23" t="n">
        <v>300</v>
      </c>
    </row>
    <row r="8" ht="15" customHeight="1" s="18">
      <c r="A8" s="23" t="inlineStr">
        <is>
          <t>gp_healer</t>
        </is>
      </c>
      <c r="B8" s="23" t="n">
        <v>40</v>
      </c>
      <c r="C8" s="23" t="n">
        <v>15</v>
      </c>
      <c r="D8" s="23" t="n">
        <v>50</v>
      </c>
      <c r="E8" s="23" t="n">
        <v>40</v>
      </c>
      <c r="F8" s="23" t="n">
        <v>45</v>
      </c>
      <c r="G8" s="23" t="n">
        <v>45</v>
      </c>
      <c r="H8" s="23" t="n">
        <v>25</v>
      </c>
      <c r="I8" s="23" t="n">
        <v>50</v>
      </c>
      <c r="J8" s="23" t="n">
        <v>310</v>
      </c>
    </row>
    <row r="9" ht="15" customHeight="1" s="18">
      <c r="A9" s="23" t="inlineStr">
        <is>
          <t>gp_frail_lucky</t>
        </is>
      </c>
      <c r="B9" s="23" t="n">
        <v>35</v>
      </c>
      <c r="C9" s="23" t="n">
        <v>25</v>
      </c>
      <c r="D9" s="23" t="n">
        <v>30</v>
      </c>
      <c r="E9" s="23" t="n">
        <v>45</v>
      </c>
      <c r="F9" s="23" t="n">
        <v>50</v>
      </c>
      <c r="G9" s="23" t="n">
        <v>75</v>
      </c>
      <c r="H9" s="23" t="n">
        <v>20</v>
      </c>
      <c r="I9" s="23" t="n">
        <v>35</v>
      </c>
      <c r="J9" s="23" t="n">
        <v>315</v>
      </c>
    </row>
    <row r="10" ht="15" customHeight="1" s="18">
      <c r="A10" s="23" t="inlineStr">
        <is>
          <t>gp_jagen</t>
        </is>
      </c>
      <c r="B10" s="23" t="n">
        <v>20</v>
      </c>
      <c r="C10" s="23" t="n">
        <v>20</v>
      </c>
      <c r="D10" s="23" t="n">
        <v>15</v>
      </c>
      <c r="E10" s="23" t="n">
        <v>20</v>
      </c>
      <c r="F10" s="23" t="n">
        <v>20</v>
      </c>
      <c r="G10" s="23" t="n">
        <v>20</v>
      </c>
      <c r="H10" s="23" t="n">
        <v>20</v>
      </c>
      <c r="I10" s="23" t="n">
        <v>15</v>
      </c>
      <c r="J10" s="23" t="n">
        <v>150</v>
      </c>
    </row>
    <row r="11" ht="15" customHeight="1" s="18">
      <c r="A11" s="23" t="inlineStr">
        <is>
          <t>gp_avatar</t>
        </is>
      </c>
      <c r="B11" s="23" t="n">
        <v>45</v>
      </c>
      <c r="C11" s="23" t="n">
        <v>40</v>
      </c>
      <c r="D11" s="23" t="n">
        <v>30</v>
      </c>
      <c r="E11" s="23" t="n">
        <v>50</v>
      </c>
      <c r="F11" s="23" t="n">
        <v>55</v>
      </c>
      <c r="G11" s="23" t="n">
        <v>45</v>
      </c>
      <c r="H11" s="23" t="n">
        <v>30</v>
      </c>
      <c r="I11" s="23" t="n">
        <v>35</v>
      </c>
      <c r="J11" s="23" t="n">
        <v>330</v>
      </c>
    </row>
    <row r="13" ht="15" customHeight="1" s="18">
      <c r="A13" s="25" t="inlineStr">
        <is>
          <t>Archetype profiles, not per-unit growths. Target band 305-325 for recruits; Jagens 150 by design.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K1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2" customWidth="1" style="17" min="2" max="3"/>
    <col width="10" customWidth="1" style="17" min="4" max="4"/>
    <col width="15" customWidth="1" style="17" min="5" max="5"/>
    <col width="26" customWidth="1" style="17" min="6" max="6"/>
    <col width="16" customWidth="1" style="17" min="7" max="8"/>
    <col width="11" customWidth="1" style="17" min="9" max="10"/>
    <col width="46" customWidth="1" style="17" min="11" max="11"/>
  </cols>
  <sheetData>
    <row r="1" ht="30" customHeight="1" s="18">
      <c r="A1" s="21" t="inlineStr">
        <is>
          <t>unit_id</t>
        </is>
      </c>
      <c r="B1" s="21" t="inlineStr">
        <is>
          <t>name</t>
        </is>
      </c>
      <c r="C1" s="21" t="inlineStr">
        <is>
          <t>status</t>
        </is>
      </c>
      <c r="D1" s="21" t="inlineStr">
        <is>
          <t>route</t>
        </is>
      </c>
      <c r="E1" s="21" t="inlineStr">
        <is>
          <t>join_chapter_id</t>
        </is>
      </c>
      <c r="F1" s="21" t="inlineStr">
        <is>
          <t>join_condition</t>
        </is>
      </c>
      <c r="G1" s="21" t="inlineStr">
        <is>
          <t>base_class_id</t>
        </is>
      </c>
      <c r="H1" s="21" t="inlineStr">
        <is>
          <t>growth_profile_id</t>
        </is>
      </c>
      <c r="I1" s="21" t="inlineStr">
        <is>
          <t>venerated_candidate</t>
        </is>
      </c>
      <c r="J1" s="21" t="inlineStr">
        <is>
          <t>deputy_candidate</t>
        </is>
      </c>
      <c r="K1" s="21" t="inlineStr">
        <is>
          <t>notes</t>
        </is>
      </c>
    </row>
    <row r="2" ht="15" customHeight="1" s="18">
      <c r="A2" s="23" t="inlineStr">
        <is>
          <t>u_avatar</t>
        </is>
      </c>
      <c r="B2" s="23" t="inlineStr">
        <is>
          <t>Avatar</t>
        </is>
      </c>
      <c r="C2" s="23" t="inlineStr">
        <is>
          <t>recruitable</t>
        </is>
      </c>
      <c r="D2" s="23" t="inlineStr">
        <is>
          <t>both</t>
        </is>
      </c>
      <c r="E2" s="23" t="inlineStr">
        <is>
          <t>ch_d01</t>
        </is>
      </c>
      <c r="F2" s="23" t="inlineStr">
        <is>
          <t>start</t>
        </is>
      </c>
      <c r="G2" s="23" t="inlineStr">
        <is>
          <t>cls_strategist</t>
        </is>
      </c>
      <c r="H2" s="23" t="inlineStr">
        <is>
          <t>gp_avatar</t>
        </is>
      </c>
      <c r="I2" s="23" t="inlineStr">
        <is>
          <t>no</t>
        </is>
      </c>
      <c r="J2" s="23" t="inlineStr">
        <is>
          <t>no</t>
        </is>
      </c>
      <c r="K2" s="23" t="inlineStr">
        <is>
          <t>level 1 administrator; squishy; voiced and argumentative</t>
        </is>
      </c>
    </row>
    <row r="3" ht="15" customHeight="1" s="18">
      <c r="A3" s="23" t="inlineStr">
        <is>
          <t>u_jost</t>
        </is>
      </c>
      <c r="B3" s="23" t="inlineStr">
        <is>
          <t>Jost</t>
        </is>
      </c>
      <c r="C3" s="23" t="inlineStr">
        <is>
          <t>recruitable</t>
        </is>
      </c>
      <c r="D3" s="23" t="inlineStr">
        <is>
          <t>diadem</t>
        </is>
      </c>
      <c r="E3" s="23" t="inlineStr">
        <is>
          <t>ch_d03</t>
        </is>
      </c>
      <c r="F3" s="23" t="inlineStr">
        <is>
          <t>talk after village visit</t>
        </is>
      </c>
      <c r="G3" s="23" t="inlineStr">
        <is>
          <t>cls_tr_axe</t>
        </is>
      </c>
      <c r="H3" s="23" t="inlineStr">
        <is>
          <t>gp_bruiser</t>
        </is>
      </c>
      <c r="I3" s="23" t="inlineStr">
        <is>
          <t>yes</t>
        </is>
      </c>
      <c r="J3" s="23" t="inlineStr">
        <is>
          <t>no</t>
        </is>
      </c>
      <c r="K3" s="23" t="inlineStr">
        <is>
          <t>ford bandit; lucky sleeper</t>
        </is>
      </c>
    </row>
    <row r="4" ht="23.25" customHeight="1" s="18">
      <c r="A4" s="23" t="inlineStr">
        <is>
          <t>u_ricberta</t>
        </is>
      </c>
      <c r="B4" s="23" t="inlineStr">
        <is>
          <t>Ricberta</t>
        </is>
      </c>
      <c r="C4" s="23" t="inlineStr">
        <is>
          <t>recruitable</t>
        </is>
      </c>
      <c r="D4" s="23" t="inlineStr">
        <is>
          <t>diadem</t>
        </is>
      </c>
      <c r="E4" s="23" t="inlineStr">
        <is>
          <t>ch_d02</t>
        </is>
      </c>
      <c r="F4" s="23" t="inlineStr">
        <is>
          <t>auto</t>
        </is>
      </c>
      <c r="G4" s="23" t="inlineStr">
        <is>
          <t>cls_tr_lance</t>
        </is>
      </c>
      <c r="H4" s="23" t="inlineStr">
        <is>
          <t>gp_armor</t>
        </is>
      </c>
      <c r="I4" s="23" t="inlineStr">
        <is>
          <t>no</t>
        </is>
      </c>
      <c r="J4" s="23" t="inlineStr">
        <is>
          <t>yes</t>
        </is>
      </c>
      <c r="K4" s="23" t="inlineStr">
        <is>
          <t>levy sergeant; secretly literate (Baron cross option); literacy is a deputy tiebreak</t>
        </is>
      </c>
    </row>
    <row r="5" ht="15" customHeight="1" s="18">
      <c r="A5" s="23" t="inlineStr">
        <is>
          <t>u_emmerich</t>
        </is>
      </c>
      <c r="B5" s="23" t="inlineStr">
        <is>
          <t>Emmerich</t>
        </is>
      </c>
      <c r="C5" s="23" t="inlineStr">
        <is>
          <t>recruitable</t>
        </is>
      </c>
      <c r="D5" s="23" t="inlineStr">
        <is>
          <t>diadem</t>
        </is>
      </c>
      <c r="E5" s="23" t="inlineStr">
        <is>
          <t>ch_d02</t>
        </is>
      </c>
      <c r="F5" s="23" t="inlineStr">
        <is>
          <t>auto</t>
        </is>
      </c>
      <c r="G5" s="23" t="inlineStr">
        <is>
          <t>cls_tr_reason</t>
        </is>
      </c>
      <c r="H5" s="23" t="inlineStr">
        <is>
          <t>gp_mage</t>
        </is>
      </c>
      <c r="I5" s="23" t="inlineStr">
        <is>
          <t>no</t>
        </is>
      </c>
      <c r="J5" s="23" t="inlineStr">
        <is>
          <t>yes</t>
        </is>
      </c>
      <c r="K5" s="23" t="inlineStr">
        <is>
          <t>requisitions clerk; Baron showcase</t>
        </is>
      </c>
    </row>
    <row r="6" ht="15" customHeight="1" s="18">
      <c r="A6" s="23" t="inlineStr">
        <is>
          <t>u_sigrun</t>
        </is>
      </c>
      <c r="B6" s="23" t="inlineStr">
        <is>
          <t>Sigrun</t>
        </is>
      </c>
      <c r="C6" s="23" t="inlineStr">
        <is>
          <t>recruitable</t>
        </is>
      </c>
      <c r="D6" s="23" t="inlineStr">
        <is>
          <t>diadem</t>
        </is>
      </c>
      <c r="E6" s="23" t="inlineStr">
        <is>
          <t>ch_d01</t>
        </is>
      </c>
      <c r="F6" s="23" t="inlineStr">
        <is>
          <t>auto</t>
        </is>
      </c>
      <c r="G6" s="23" t="inlineStr">
        <is>
          <t>cls_tr_sword</t>
        </is>
      </c>
      <c r="H6" s="23" t="inlineStr">
        <is>
          <t>gp_cavalry</t>
        </is>
      </c>
      <c r="I6" s="23" t="inlineStr">
        <is>
          <t>no</t>
        </is>
      </c>
      <c r="J6" s="23" t="inlineStr">
        <is>
          <t>yes</t>
        </is>
      </c>
      <c r="K6" s="23" t="inlineStr">
        <is>
          <t>courier rider</t>
        </is>
      </c>
    </row>
    <row r="7" ht="15" customHeight="1" s="18">
      <c r="A7" s="23" t="inlineStr">
        <is>
          <t>u_waldrada</t>
        </is>
      </c>
      <c r="B7" s="23" t="inlineStr">
        <is>
          <t>Waldrada</t>
        </is>
      </c>
      <c r="C7" s="23" t="inlineStr">
        <is>
          <t>recruitable</t>
        </is>
      </c>
      <c r="D7" s="23" t="inlineStr">
        <is>
          <t>diadem</t>
        </is>
      </c>
      <c r="E7" s="23" t="inlineStr">
        <is>
          <t>ch_d02</t>
        </is>
      </c>
      <c r="F7" s="23" t="inlineStr">
        <is>
          <t>joins turn 2</t>
        </is>
      </c>
      <c r="G7" s="23" t="inlineStr">
        <is>
          <t>cls_tr_lance</t>
        </is>
      </c>
      <c r="H7" s="23" t="inlineStr">
        <is>
          <t>gp_flier</t>
        </is>
      </c>
      <c r="I7" s="23" t="inlineStr">
        <is>
          <t>no</t>
        </is>
      </c>
      <c r="J7" s="23" t="inlineStr">
        <is>
          <t>yes</t>
        </is>
      </c>
      <c r="K7" s="23" t="inlineStr">
        <is>
          <t>resentful Assembly flier; loyalty subplot</t>
        </is>
      </c>
    </row>
    <row r="8" ht="15" customHeight="1" s="18">
      <c r="A8" s="23" t="inlineStr">
        <is>
          <t>u_tancred</t>
        </is>
      </c>
      <c r="B8" s="23" t="inlineStr">
        <is>
          <t>Tancred</t>
        </is>
      </c>
      <c r="C8" s="23" t="inlineStr">
        <is>
          <t>recruitable</t>
        </is>
      </c>
      <c r="D8" s="23" t="inlineStr">
        <is>
          <t>diadem</t>
        </is>
      </c>
      <c r="E8" s="23" t="inlineStr">
        <is>
          <t>ch_d03</t>
        </is>
      </c>
      <c r="F8" s="23" t="inlineStr">
        <is>
          <t>auto</t>
        </is>
      </c>
      <c r="G8" s="23" t="inlineStr">
        <is>
          <t>cls_tr_bow</t>
        </is>
      </c>
      <c r="H8" s="23" t="inlineStr">
        <is>
          <t>gp_archer</t>
        </is>
      </c>
      <c r="I8" s="23" t="inlineStr">
        <is>
          <t>no</t>
        </is>
      </c>
      <c r="J8" s="23" t="inlineStr">
        <is>
          <t>no</t>
        </is>
      </c>
      <c r="K8" s="23" t="inlineStr">
        <is>
          <t>village recruit; Pardoner line</t>
        </is>
      </c>
    </row>
    <row r="9" ht="15" customHeight="1" s="18">
      <c r="A9" s="23" t="inlineStr">
        <is>
          <t>u_maren</t>
        </is>
      </c>
      <c r="B9" s="23" t="inlineStr">
        <is>
          <t>Maren</t>
        </is>
      </c>
      <c r="C9" s="23" t="inlineStr">
        <is>
          <t>recruitable</t>
        </is>
      </c>
      <c r="D9" s="23" t="inlineStr">
        <is>
          <t>assembly</t>
        </is>
      </c>
      <c r="E9" s="23" t="inlineStr">
        <is>
          <t>ch_a01</t>
        </is>
      </c>
      <c r="F9" s="23" t="inlineStr">
        <is>
          <t>auto if all civilians survive</t>
        </is>
      </c>
      <c r="G9" s="23" t="inlineStr">
        <is>
          <t>cls_tr_faith</t>
        </is>
      </c>
      <c r="H9" s="23" t="inlineStr">
        <is>
          <t>gp_healer</t>
        </is>
      </c>
      <c r="I9" s="23" t="inlineStr">
        <is>
          <t>yes</t>
        </is>
      </c>
      <c r="J9" s="23" t="inlineStr">
        <is>
          <t>no</t>
        </is>
      </c>
      <c r="K9" s="23" t="inlineStr">
        <is>
          <t>winter-dole healer; Miasma Warden destination</t>
        </is>
      </c>
    </row>
    <row r="10" ht="15" customHeight="1" s="18">
      <c r="A10" s="23" t="inlineStr">
        <is>
          <t>u_brandt</t>
        </is>
      </c>
      <c r="B10" s="23" t="inlineStr">
        <is>
          <t>Brandt</t>
        </is>
      </c>
      <c r="C10" s="23" t="inlineStr">
        <is>
          <t>recruitable</t>
        </is>
      </c>
      <c r="D10" s="23" t="inlineStr">
        <is>
          <t>assembly</t>
        </is>
      </c>
      <c r="E10" s="23" t="inlineStr">
        <is>
          <t>ch_a01</t>
        </is>
      </c>
      <c r="F10" s="23" t="inlineStr">
        <is>
          <t>auto</t>
        </is>
      </c>
      <c r="G10" s="23" t="inlineStr">
        <is>
          <t>cls_tr_lance</t>
        </is>
      </c>
      <c r="H10" s="23" t="inlineStr">
        <is>
          <t>gp_armor</t>
        </is>
      </c>
      <c r="I10" s="23" t="inlineStr">
        <is>
          <t>no</t>
        </is>
      </c>
      <c r="J10" s="23" t="inlineStr">
        <is>
          <t>yes</t>
        </is>
      </c>
      <c r="K10" s="23" t="inlineStr">
        <is>
          <t>gate sergeant; Great shield via Maren support</t>
        </is>
      </c>
    </row>
    <row r="11" ht="15" customHeight="1" s="18">
      <c r="A11" s="23" t="inlineStr">
        <is>
          <t>u_solveig</t>
        </is>
      </c>
      <c r="B11" s="23" t="inlineStr">
        <is>
          <t>Solveig</t>
        </is>
      </c>
      <c r="C11" s="23" t="inlineStr">
        <is>
          <t>recruitable</t>
        </is>
      </c>
      <c r="D11" s="23" t="inlineStr">
        <is>
          <t>assembly</t>
        </is>
      </c>
      <c r="E11" s="23" t="inlineStr">
        <is>
          <t>ch_a02</t>
        </is>
      </c>
      <c r="F11" s="23" t="inlineStr">
        <is>
          <t>auto</t>
        </is>
      </c>
      <c r="G11" s="23" t="inlineStr">
        <is>
          <t>cls_tr_lance</t>
        </is>
      </c>
      <c r="H11" s="23" t="inlineStr">
        <is>
          <t>gp_flier</t>
        </is>
      </c>
      <c r="I11" s="23" t="inlineStr">
        <is>
          <t>no</t>
        </is>
      </c>
      <c r="J11" s="23" t="inlineStr">
        <is>
          <t>yes</t>
        </is>
      </c>
      <c r="K11" s="23" t="inlineStr">
        <is>
          <t>highland pegasus courier; living-prophecy family</t>
        </is>
      </c>
    </row>
    <row r="12" ht="15" customHeight="1" s="18">
      <c r="A12" s="23" t="inlineStr">
        <is>
          <t>u_gunnar</t>
        </is>
      </c>
      <c r="B12" s="23" t="inlineStr">
        <is>
          <t>Gunnar</t>
        </is>
      </c>
      <c r="C12" s="23" t="inlineStr">
        <is>
          <t>recruitable</t>
        </is>
      </c>
      <c r="D12" s="23" t="inlineStr">
        <is>
          <t>assembly</t>
        </is>
      </c>
      <c r="E12" s="23" t="inlineStr">
        <is>
          <t>ch_a02</t>
        </is>
      </c>
      <c r="F12" s="23" t="inlineStr">
        <is>
          <t>auto</t>
        </is>
      </c>
      <c r="G12" s="23" t="inlineStr">
        <is>
          <t>cls_bounty_hunter</t>
        </is>
      </c>
      <c r="H12" s="23" t="inlineStr">
        <is>
          <t>gp_archer</t>
        </is>
      </c>
      <c r="I12" s="23" t="inlineStr">
        <is>
          <t>no</t>
        </is>
      </c>
      <c r="J12" s="23" t="inlineStr">
        <is>
          <t>yes</t>
        </is>
      </c>
      <c r="K12" s="23" t="inlineStr">
        <is>
          <t>old huntsman; crossbow-certified</t>
        </is>
      </c>
    </row>
    <row r="13" ht="15" customHeight="1" s="18">
      <c r="A13" s="23" t="inlineStr">
        <is>
          <t>u_edda</t>
        </is>
      </c>
      <c r="B13" s="23" t="inlineStr">
        <is>
          <t>Edda</t>
        </is>
      </c>
      <c r="C13" s="23" t="inlineStr">
        <is>
          <t>recruitable</t>
        </is>
      </c>
      <c r="D13" s="23" t="inlineStr">
        <is>
          <t>assembly</t>
        </is>
      </c>
      <c r="E13" s="23" t="inlineStr">
        <is>
          <t>ch_a02</t>
        </is>
      </c>
      <c r="F13" s="23" t="inlineStr">
        <is>
          <t>auto</t>
        </is>
      </c>
      <c r="G13" s="23" t="inlineStr">
        <is>
          <t>cls_skald</t>
        </is>
      </c>
      <c r="H13" s="23" t="inlineStr">
        <is>
          <t>gp_frail_lucky</t>
        </is>
      </c>
      <c r="I13" s="23" t="inlineStr">
        <is>
          <t>no</t>
        </is>
      </c>
      <c r="J13" s="23" t="inlineStr">
        <is>
          <t>no</t>
        </is>
      </c>
      <c r="K13" s="23" t="inlineStr">
        <is>
          <t>village reciter</t>
        </is>
      </c>
    </row>
    <row r="14" ht="15" customHeight="1" s="18">
      <c r="A14" s="23" t="inlineStr">
        <is>
          <t>u_anselm</t>
        </is>
      </c>
      <c r="B14" s="23" t="inlineStr">
        <is>
          <t>Anselm</t>
        </is>
      </c>
      <c r="C14" s="23" t="inlineStr">
        <is>
          <t>recruitable</t>
        </is>
      </c>
      <c r="D14" s="23" t="inlineStr">
        <is>
          <t>assembly</t>
        </is>
      </c>
      <c r="E14" s="23" t="inlineStr">
        <is>
          <t>ch_a03</t>
        </is>
      </c>
      <c r="F14" s="23" t="inlineStr">
        <is>
          <t>auto</t>
        </is>
      </c>
      <c r="G14" s="23" t="inlineStr">
        <is>
          <t>cls_tr_faith</t>
        </is>
      </c>
      <c r="H14" s="23" t="inlineStr">
        <is>
          <t>gp_healer</t>
        </is>
      </c>
      <c r="I14" s="23" t="inlineStr">
        <is>
          <t>no</t>
        </is>
      </c>
      <c r="J14" s="23" t="inlineStr">
        <is>
          <t>yes</t>
        </is>
      </c>
      <c r="K14" s="23" t="inlineStr">
        <is>
          <t>adrift monk; theology barometer</t>
        </is>
      </c>
    </row>
    <row r="15" ht="23.25" customHeight="1" s="18">
      <c r="A15" s="23" t="inlineStr">
        <is>
          <t>u_kheldar</t>
        </is>
      </c>
      <c r="B15" s="23" t="inlineStr">
        <is>
          <t>Kheldar</t>
        </is>
      </c>
      <c r="C15" s="23" t="inlineStr">
        <is>
          <t>recruitable</t>
        </is>
      </c>
      <c r="D15" s="23" t="inlineStr">
        <is>
          <t>both</t>
        </is>
      </c>
      <c r="E15" s="23" t="inlineStr">
        <is>
          <t>ch_d01</t>
        </is>
      </c>
      <c r="F15" s="23" t="inlineStr">
        <is>
          <t>recruited when profitable</t>
        </is>
      </c>
      <c r="G15" s="23" t="inlineStr">
        <is>
          <t>cls_factor</t>
        </is>
      </c>
      <c r="H15" s="23" t="inlineStr">
        <is>
          <t>gp_frail_lucky</t>
        </is>
      </c>
      <c r="I15" s="23" t="inlineStr">
        <is>
          <t>no</t>
        </is>
      </c>
      <c r="J15" s="23" t="inlineStr">
        <is>
          <t>no</t>
        </is>
      </c>
      <c r="K15" s="23" t="inlineStr">
        <is>
          <t>smuggler merchant-spy; ch1 cameo unkillable, escapes turn 6; manifest discrepancy thread</t>
        </is>
      </c>
    </row>
    <row r="16" ht="23.25" customHeight="1" s="18">
      <c r="A16" s="23" t="inlineStr">
        <is>
          <t>u_dietmar</t>
        </is>
      </c>
      <c r="B16" s="23" t="inlineStr">
        <is>
          <t>Dietmar</t>
        </is>
      </c>
      <c r="C16" s="23" t="inlineStr">
        <is>
          <t>jagen</t>
        </is>
      </c>
      <c r="D16" s="23" t="inlineStr">
        <is>
          <t>diadem</t>
        </is>
      </c>
      <c r="E16" s="23" t="inlineStr">
        <is>
          <t>ch_d01</t>
        </is>
      </c>
      <c r="F16" s="23" t="inlineStr">
        <is>
          <t>start</t>
        </is>
      </c>
      <c r="G16" s="23" t="inlineStr">
        <is>
          <t>cls_paladin</t>
        </is>
      </c>
      <c r="H16" s="23" t="inlineStr">
        <is>
          <t>gp_jagen</t>
        </is>
      </c>
      <c r="I16" s="23" t="inlineStr">
        <is>
          <t>no</t>
        </is>
      </c>
      <c r="J16" s="23" t="inlineStr">
        <is>
          <t>no</t>
        </is>
      </c>
      <c r="K16" s="23" t="inlineStr">
        <is>
          <t>revolution-generation; obsolescence arc; one Act 3 gate-holding deed map</t>
        </is>
      </c>
    </row>
    <row r="17" ht="15" customHeight="1" s="18">
      <c r="A17" s="23" t="inlineStr">
        <is>
          <t>u_torvald</t>
        </is>
      </c>
      <c r="B17" s="23" t="inlineStr">
        <is>
          <t>Torvald</t>
        </is>
      </c>
      <c r="C17" s="23" t="inlineStr">
        <is>
          <t>jagen</t>
        </is>
      </c>
      <c r="D17" s="23" t="inlineStr">
        <is>
          <t>assembly</t>
        </is>
      </c>
      <c r="E17" s="23" t="inlineStr">
        <is>
          <t>ch_a01</t>
        </is>
      </c>
      <c r="F17" s="23" t="inlineStr">
        <is>
          <t>start</t>
        </is>
      </c>
      <c r="G17" s="23" t="inlineStr">
        <is>
          <t>cls_axe_knight</t>
        </is>
      </c>
      <c r="H17" s="23" t="inlineStr">
        <is>
          <t>gp_jagen</t>
        </is>
      </c>
      <c r="I17" s="23" t="inlineStr">
        <is>
          <t>no</t>
        </is>
      </c>
      <c r="J17" s="23" t="inlineStr">
        <is>
          <t>no</t>
        </is>
      </c>
      <c r="K17" s="23" t="inlineStr">
        <is>
          <t>last of a plague-gutted order; force-deployed on ch_a03</t>
        </is>
      </c>
    </row>
    <row r="18" ht="135.8" customHeight="1" s="18">
      <c r="A18" s="23" t="inlineStr">
        <is>
          <t>u_rinsa</t>
        </is>
      </c>
      <c r="B18" s="23" t="inlineStr">
        <is>
          <t>Rinsa</t>
        </is>
      </c>
      <c r="C18" s="23" t="inlineStr">
        <is>
          <t>recruitable</t>
        </is>
      </c>
      <c r="D18" s="23" t="inlineStr">
        <is>
          <t>both</t>
        </is>
      </c>
      <c r="E18" s="23" t="inlineStr">
        <is>
          <t>ch_b15</t>
        </is>
      </c>
      <c r="F18" s="23" t="inlineStr">
        <is>
          <t>talk; differs by route</t>
        </is>
      </c>
      <c r="G18" s="23" t="inlineStr">
        <is>
          <t>cls_tr_brawl</t>
        </is>
      </c>
      <c r="H18" s="23" t="inlineStr">
        <is>
          <t>gp_bruiser</t>
        </is>
      </c>
      <c r="I18" s="23" t="inlineStr">
        <is>
          <t>no</t>
        </is>
      </c>
      <c r="J18" s="23" t="inlineStr">
        <is>
          <t>no</t>
        </is>
      </c>
      <c r="K18" s="23" t="inlineStr">
        <is>
          <t>the descender: paid staff at the oracle of the dead, not clergy. Leads customers down into the dark, waits while they ask their one question, brings them up. Has done it hundreds of times. Sign: the Vessel. Bound for Ash Ascetic (brawl+reason). DIADEM: you cannot cross the wall at the Throat without a guide. ASSEMBLY: she comes down to you, because the oracle's waiting list is full of your plague dead and she wants to know why the crown stopped sending the parish lists. The only unit who has BEEN down there, which matters in the endgame when the question is whether the Venerated is dead: everyone else argues from documents.</t>
        </is>
      </c>
    </row>
    <row r="19" ht="15" customHeight="1" s="18">
      <c r="A19" s="23" t="inlineStr">
        <is>
          <t>u_kest</t>
        </is>
      </c>
      <c r="B19" s="23" t="inlineStr">
        <is>
          <t>Kest</t>
        </is>
      </c>
      <c r="C19" s="23" t="inlineStr">
        <is>
          <t>recruitable</t>
        </is>
      </c>
      <c r="D19" s="23" t="inlineStr">
        <is>
          <t>diadem</t>
        </is>
      </c>
      <c r="E19" s="23" t="inlineStr">
        <is>
          <t>ch_d02</t>
        </is>
      </c>
      <c r="F19" s="23" t="inlineStr">
        <is>
          <t>talk or let-go, mid-heist</t>
        </is>
      </c>
      <c r="G19" s="23" t="inlineStr">
        <is>
          <t>cls_footpad</t>
        </is>
      </c>
      <c r="H19" s="23" t="inlineStr">
        <is>
          <t>gp_frail_lucky</t>
        </is>
      </c>
      <c r="I19" s="23" t="inlineStr">
        <is>
          <t>no</t>
        </is>
      </c>
      <c r="J19" s="23" t="inlineStr">
        <is>
          <t>no</t>
        </is>
      </c>
      <c r="K19" s="23" t="inlineStr">
        <is>
          <t>JIMMY THE HAND / LOCKE LAMORA archetype, gender-swapped: prodigious thief, guild-raised in Nikaia (shrunken city, six hundred people inside walls built for twenty thousand) -- works the abandoned quarters the state cannot afford to police, picking through the ruin of an economy rather than preying on a functioning one. Sign: the Twins. RECRUITMENT SCENE: caught mid-job in an abandoned house, arguing both sides of whether to take a single small worthless item -- a decan token, not clearly valuable and not clearly anyone's. She takes it despite herself. The recruiting unit does not need to understand the argument, only notice she was having one with someone who is not there. REVEAL WITHHELD AT RECRUITMENT: she is grieving a twin brother she believes she failed to protect, and the arguing-both-sides habit used to be a real second voice. This surfaces later, in supports, never at recruitment -- a first-time player should read the scene as ordinary Twins indecision, not grief, and only recontextualise it once a support earns the reveal. The token is HIS decan, not hers; inert and unremarked in Act 1-2, becomes relevant to the calendar schism in Act 3 (see calendar tab) -- a personal object turns out to be evidence in the document dispute the endgame runs on, without her knowing that when she pockets it. Bound for the shadow tier (Assassin/Trickster). NOTE: this is the one unit whose sign carries a hidden-trauma mechanism this deep -- not a template for the other 17 (see signs tab caution).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K20"/>
  <sheetViews>
    <sheetView workbookViewId="0">
      <selection activeCell="A1" sqref="A1"/>
    </sheetView>
  </sheetViews>
  <sheetFormatPr baseColWidth="8" defaultRowHeight="15"/>
  <cols>
    <col width="12" customWidth="1" style="18" min="1" max="1"/>
    <col width="8" customWidth="1" style="18" min="2" max="2"/>
    <col width="10" customWidth="1" style="18" min="3" max="3"/>
    <col width="6" customWidth="1" style="18" min="4" max="4"/>
    <col width="6" customWidth="1" style="18" min="5" max="5"/>
    <col width="6" customWidth="1" style="18" min="6" max="6"/>
    <col width="6" customWidth="1" style="18" min="7" max="7"/>
    <col width="6" customWidth="1" style="18" min="8" max="8"/>
    <col width="6" customWidth="1" style="18" min="9" max="9"/>
    <col width="6" customWidth="1" style="18" min="10" max="10"/>
    <col width="6" customWidth="1" style="18" min="11" max="11"/>
  </cols>
  <sheetData>
    <row r="1">
      <c r="A1" s="26" t="inlineStr">
        <is>
          <t>unit_id</t>
        </is>
      </c>
      <c r="B1" s="26" t="inlineStr">
        <is>
          <t>level</t>
        </is>
      </c>
      <c r="C1" s="26" t="inlineStr">
        <is>
          <t>tier</t>
        </is>
      </c>
      <c r="D1" s="26" t="inlineStr">
        <is>
          <t>hp</t>
        </is>
      </c>
      <c r="E1" s="26" t="inlineStr">
        <is>
          <t>str</t>
        </is>
      </c>
      <c r="F1" s="26" t="inlineStr">
        <is>
          <t>mag</t>
        </is>
      </c>
      <c r="G1" s="26" t="inlineStr">
        <is>
          <t>dex</t>
        </is>
      </c>
      <c r="H1" s="26" t="inlineStr">
        <is>
          <t>spd</t>
        </is>
      </c>
      <c r="I1" s="26" t="inlineStr">
        <is>
          <t>lck</t>
        </is>
      </c>
      <c r="J1" s="26" t="inlineStr">
        <is>
          <t>def</t>
        </is>
      </c>
      <c r="K1" s="26" t="inlineStr">
        <is>
          <t>res</t>
        </is>
      </c>
    </row>
    <row r="2">
      <c r="A2" s="17" t="inlineStr">
        <is>
          <t>u_avatar</t>
        </is>
      </c>
      <c r="B2" s="17" t="n">
        <v>1</v>
      </c>
      <c r="C2" s="17" t="inlineStr">
        <is>
          <t>personal</t>
        </is>
      </c>
      <c r="D2" s="17" t="n">
        <v>20</v>
      </c>
      <c r="E2" s="17" t="n">
        <v>6</v>
      </c>
      <c r="F2" s="17" t="n">
        <v>5</v>
      </c>
      <c r="G2" s="17" t="n">
        <v>6</v>
      </c>
      <c r="H2" s="17" t="n">
        <v>7</v>
      </c>
      <c r="I2" s="17" t="n">
        <v>6</v>
      </c>
      <c r="J2" s="17" t="n">
        <v>5</v>
      </c>
      <c r="K2" s="17" t="n">
        <v>5</v>
      </c>
    </row>
    <row r="3">
      <c r="A3" s="17" t="inlineStr">
        <is>
          <t>u_jost</t>
        </is>
      </c>
      <c r="B3" s="17" t="n">
        <v>5</v>
      </c>
      <c r="C3" s="17" t="inlineStr">
        <is>
          <t>trained</t>
        </is>
      </c>
      <c r="D3" s="17" t="n">
        <v>23</v>
      </c>
      <c r="E3" s="17" t="n">
        <v>8</v>
      </c>
      <c r="F3" s="17" t="n">
        <v>3</v>
      </c>
      <c r="G3" s="17" t="n">
        <v>8</v>
      </c>
      <c r="H3" s="17" t="n">
        <v>8</v>
      </c>
      <c r="I3" s="17" t="n">
        <v>7</v>
      </c>
      <c r="J3" s="17" t="n">
        <v>6</v>
      </c>
      <c r="K3" s="17" t="n">
        <v>4</v>
      </c>
    </row>
    <row r="4">
      <c r="A4" s="17" t="inlineStr">
        <is>
          <t>u_ricberta</t>
        </is>
      </c>
      <c r="B4" s="17" t="n">
        <v>5</v>
      </c>
      <c r="C4" s="17" t="inlineStr">
        <is>
          <t>trained</t>
        </is>
      </c>
      <c r="D4" s="17" t="n">
        <v>23</v>
      </c>
      <c r="E4" s="17" t="n">
        <v>7</v>
      </c>
      <c r="F4" s="17" t="n">
        <v>3</v>
      </c>
      <c r="G4" s="17" t="n">
        <v>8</v>
      </c>
      <c r="H4" s="17" t="n">
        <v>7</v>
      </c>
      <c r="I4" s="17" t="n">
        <v>7</v>
      </c>
      <c r="J4" s="17" t="n">
        <v>7</v>
      </c>
      <c r="K4" s="17" t="n">
        <v>4</v>
      </c>
    </row>
    <row r="5">
      <c r="A5" s="17" t="inlineStr">
        <is>
          <t>u_emmerich</t>
        </is>
      </c>
      <c r="B5" s="17" t="n">
        <v>5</v>
      </c>
      <c r="C5" s="17" t="inlineStr">
        <is>
          <t>trained</t>
        </is>
      </c>
      <c r="D5" s="17" t="n">
        <v>22</v>
      </c>
      <c r="E5" s="17" t="n">
        <v>5</v>
      </c>
      <c r="F5" s="17" t="n">
        <v>6</v>
      </c>
      <c r="G5" s="17" t="n">
        <v>8</v>
      </c>
      <c r="H5" s="17" t="n">
        <v>8</v>
      </c>
      <c r="I5" s="17" t="n">
        <v>7</v>
      </c>
      <c r="J5" s="17" t="n">
        <v>5</v>
      </c>
      <c r="K5" s="17" t="n">
        <v>5</v>
      </c>
    </row>
    <row r="6">
      <c r="A6" s="17" t="inlineStr">
        <is>
          <t>u_sigrun</t>
        </is>
      </c>
      <c r="B6" s="17" t="n">
        <v>5</v>
      </c>
      <c r="C6" s="17" t="inlineStr">
        <is>
          <t>trained</t>
        </is>
      </c>
      <c r="D6" s="17" t="n">
        <v>22</v>
      </c>
      <c r="E6" s="17" t="n">
        <v>7</v>
      </c>
      <c r="F6" s="17" t="n">
        <v>3</v>
      </c>
      <c r="G6" s="17" t="n">
        <v>8</v>
      </c>
      <c r="H6" s="17" t="n">
        <v>8</v>
      </c>
      <c r="I6" s="17" t="n">
        <v>7</v>
      </c>
      <c r="J6" s="17" t="n">
        <v>6</v>
      </c>
      <c r="K6" s="17" t="n">
        <v>4</v>
      </c>
    </row>
    <row r="7">
      <c r="A7" s="17" t="inlineStr">
        <is>
          <t>u_waldrada</t>
        </is>
      </c>
      <c r="B7" s="17" t="n">
        <v>5</v>
      </c>
      <c r="C7" s="17" t="inlineStr">
        <is>
          <t>trained</t>
        </is>
      </c>
      <c r="D7" s="17" t="n">
        <v>22</v>
      </c>
      <c r="E7" s="17" t="n">
        <v>7</v>
      </c>
      <c r="F7" s="17" t="n">
        <v>4</v>
      </c>
      <c r="G7" s="17" t="n">
        <v>8</v>
      </c>
      <c r="H7" s="17" t="n">
        <v>9</v>
      </c>
      <c r="I7" s="17" t="n">
        <v>7</v>
      </c>
      <c r="J7" s="17" t="n">
        <v>5</v>
      </c>
      <c r="K7" s="17" t="n">
        <v>5</v>
      </c>
    </row>
    <row r="8">
      <c r="A8" s="17" t="inlineStr">
        <is>
          <t>u_tancred</t>
        </is>
      </c>
      <c r="B8" s="17" t="n">
        <v>5</v>
      </c>
      <c r="C8" s="17" t="inlineStr">
        <is>
          <t>trained</t>
        </is>
      </c>
      <c r="D8" s="17" t="n">
        <v>22</v>
      </c>
      <c r="E8" s="17" t="n">
        <v>7</v>
      </c>
      <c r="F8" s="17" t="n">
        <v>3</v>
      </c>
      <c r="G8" s="17" t="n">
        <v>9</v>
      </c>
      <c r="H8" s="17" t="n">
        <v>8</v>
      </c>
      <c r="I8" s="17" t="n">
        <v>7</v>
      </c>
      <c r="J8" s="17" t="n">
        <v>6</v>
      </c>
      <c r="K8" s="17" t="n">
        <v>4</v>
      </c>
    </row>
    <row r="9">
      <c r="A9" s="17" t="inlineStr">
        <is>
          <t>u_maren</t>
        </is>
      </c>
      <c r="B9" s="17" t="n">
        <v>5</v>
      </c>
      <c r="C9" s="17" t="inlineStr">
        <is>
          <t>trained</t>
        </is>
      </c>
      <c r="D9" s="17" t="n">
        <v>22</v>
      </c>
      <c r="E9" s="17" t="n">
        <v>6</v>
      </c>
      <c r="F9" s="17" t="n">
        <v>5</v>
      </c>
      <c r="G9" s="17" t="n">
        <v>8</v>
      </c>
      <c r="H9" s="17" t="n">
        <v>8</v>
      </c>
      <c r="I9" s="17" t="n">
        <v>7</v>
      </c>
      <c r="J9" s="17" t="n">
        <v>5</v>
      </c>
      <c r="K9" s="17" t="n">
        <v>5</v>
      </c>
    </row>
    <row r="10">
      <c r="A10" s="17" t="inlineStr">
        <is>
          <t>u_brandt</t>
        </is>
      </c>
      <c r="B10" s="17" t="n">
        <v>5</v>
      </c>
      <c r="C10" s="17" t="inlineStr">
        <is>
          <t>trained</t>
        </is>
      </c>
      <c r="D10" s="17" t="n">
        <v>23</v>
      </c>
      <c r="E10" s="17" t="n">
        <v>7</v>
      </c>
      <c r="F10" s="17" t="n">
        <v>3</v>
      </c>
      <c r="G10" s="17" t="n">
        <v>8</v>
      </c>
      <c r="H10" s="17" t="n">
        <v>7</v>
      </c>
      <c r="I10" s="17" t="n">
        <v>7</v>
      </c>
      <c r="J10" s="17" t="n">
        <v>7</v>
      </c>
      <c r="K10" s="17" t="n">
        <v>4</v>
      </c>
    </row>
    <row r="11">
      <c r="A11" s="17" t="inlineStr">
        <is>
          <t>u_solveig</t>
        </is>
      </c>
      <c r="B11" s="17" t="n">
        <v>5</v>
      </c>
      <c r="C11" s="17" t="inlineStr">
        <is>
          <t>trained</t>
        </is>
      </c>
      <c r="D11" s="17" t="n">
        <v>22</v>
      </c>
      <c r="E11" s="17" t="n">
        <v>7</v>
      </c>
      <c r="F11" s="17" t="n">
        <v>4</v>
      </c>
      <c r="G11" s="17" t="n">
        <v>8</v>
      </c>
      <c r="H11" s="17" t="n">
        <v>9</v>
      </c>
      <c r="I11" s="17" t="n">
        <v>7</v>
      </c>
      <c r="J11" s="17" t="n">
        <v>5</v>
      </c>
      <c r="K11" s="17" t="n">
        <v>5</v>
      </c>
    </row>
    <row r="12">
      <c r="A12" s="17" t="inlineStr">
        <is>
          <t>u_gunnar</t>
        </is>
      </c>
      <c r="B12" s="17" t="n">
        <v>1</v>
      </c>
      <c r="C12" s="17" t="inlineStr">
        <is>
          <t>personal</t>
        </is>
      </c>
      <c r="D12" s="17" t="n">
        <v>20</v>
      </c>
      <c r="E12" s="17" t="n">
        <v>6</v>
      </c>
      <c r="F12" s="17" t="n">
        <v>3</v>
      </c>
      <c r="G12" s="17" t="n">
        <v>7</v>
      </c>
      <c r="H12" s="17" t="n">
        <v>6</v>
      </c>
      <c r="I12" s="17" t="n">
        <v>6</v>
      </c>
      <c r="J12" s="17" t="n">
        <v>5</v>
      </c>
      <c r="K12" s="17" t="n">
        <v>4</v>
      </c>
    </row>
    <row r="13">
      <c r="A13" s="17" t="inlineStr">
        <is>
          <t>u_edda</t>
        </is>
      </c>
      <c r="B13" s="17" t="n">
        <v>1</v>
      </c>
      <c r="C13" s="17" t="inlineStr">
        <is>
          <t>personal</t>
        </is>
      </c>
      <c r="D13" s="17" t="n">
        <v>20</v>
      </c>
      <c r="E13" s="17" t="n">
        <v>5</v>
      </c>
      <c r="F13" s="17" t="n">
        <v>5</v>
      </c>
      <c r="G13" s="17" t="n">
        <v>6</v>
      </c>
      <c r="H13" s="17" t="n">
        <v>6</v>
      </c>
      <c r="I13" s="17" t="n">
        <v>8</v>
      </c>
      <c r="J13" s="17" t="n">
        <v>4</v>
      </c>
      <c r="K13" s="17" t="n">
        <v>5</v>
      </c>
    </row>
    <row r="14">
      <c r="A14" s="17" t="inlineStr">
        <is>
          <t>u_anselm</t>
        </is>
      </c>
      <c r="B14" s="17" t="n">
        <v>5</v>
      </c>
      <c r="C14" s="17" t="inlineStr">
        <is>
          <t>trained</t>
        </is>
      </c>
      <c r="D14" s="17" t="n">
        <v>22</v>
      </c>
      <c r="E14" s="17" t="n">
        <v>6</v>
      </c>
      <c r="F14" s="17" t="n">
        <v>5</v>
      </c>
      <c r="G14" s="17" t="n">
        <v>8</v>
      </c>
      <c r="H14" s="17" t="n">
        <v>8</v>
      </c>
      <c r="I14" s="17" t="n">
        <v>7</v>
      </c>
      <c r="J14" s="17" t="n">
        <v>5</v>
      </c>
      <c r="K14" s="17" t="n">
        <v>5</v>
      </c>
    </row>
    <row r="15">
      <c r="A15" s="17" t="inlineStr">
        <is>
          <t>u_kheldar</t>
        </is>
      </c>
      <c r="B15" s="17" t="n">
        <v>1</v>
      </c>
      <c r="C15" s="17" t="inlineStr">
        <is>
          <t>personal</t>
        </is>
      </c>
      <c r="D15" s="17" t="n">
        <v>20</v>
      </c>
      <c r="E15" s="17" t="n">
        <v>5</v>
      </c>
      <c r="F15" s="17" t="n">
        <v>5</v>
      </c>
      <c r="G15" s="17" t="n">
        <v>6</v>
      </c>
      <c r="H15" s="17" t="n">
        <v>6</v>
      </c>
      <c r="I15" s="17" t="n">
        <v>8</v>
      </c>
      <c r="J15" s="17" t="n">
        <v>4</v>
      </c>
      <c r="K15" s="17" t="n">
        <v>5</v>
      </c>
    </row>
    <row r="16">
      <c r="A16" s="17" t="inlineStr">
        <is>
          <t>u_dietmar</t>
        </is>
      </c>
      <c r="B16" s="17" t="n">
        <v>15</v>
      </c>
      <c r="C16" s="17" t="inlineStr">
        <is>
          <t>order</t>
        </is>
      </c>
      <c r="D16" s="17" t="n">
        <v>31</v>
      </c>
      <c r="E16" s="17" t="n">
        <v>13</v>
      </c>
      <c r="F16" s="17" t="n">
        <v>9</v>
      </c>
      <c r="G16" s="17" t="n">
        <v>15</v>
      </c>
      <c r="H16" s="17" t="n">
        <v>14</v>
      </c>
      <c r="I16" s="17" t="n">
        <v>11</v>
      </c>
      <c r="J16" s="17" t="n">
        <v>12</v>
      </c>
      <c r="K16" s="17" t="n">
        <v>10</v>
      </c>
    </row>
    <row r="17">
      <c r="A17" s="17" t="inlineStr">
        <is>
          <t>u_torvald</t>
        </is>
      </c>
      <c r="B17" s="17" t="n">
        <v>15</v>
      </c>
      <c r="C17" s="17" t="inlineStr">
        <is>
          <t>order</t>
        </is>
      </c>
      <c r="D17" s="17" t="n">
        <v>31</v>
      </c>
      <c r="E17" s="17" t="n">
        <v>13</v>
      </c>
      <c r="F17" s="17" t="n">
        <v>9</v>
      </c>
      <c r="G17" s="17" t="n">
        <v>15</v>
      </c>
      <c r="H17" s="17" t="n">
        <v>14</v>
      </c>
      <c r="I17" s="17" t="n">
        <v>11</v>
      </c>
      <c r="J17" s="17" t="n">
        <v>12</v>
      </c>
      <c r="K17" s="17" t="n">
        <v>10</v>
      </c>
    </row>
    <row r="18">
      <c r="A18" s="17" t="inlineStr">
        <is>
          <t>u_rinsa</t>
        </is>
      </c>
      <c r="B18" s="17" t="n">
        <v>5</v>
      </c>
      <c r="C18" s="17" t="inlineStr">
        <is>
          <t>trained</t>
        </is>
      </c>
      <c r="D18" s="17" t="n">
        <v>23</v>
      </c>
      <c r="E18" s="17" t="n">
        <v>8</v>
      </c>
      <c r="F18" s="17" t="n">
        <v>3</v>
      </c>
      <c r="G18" s="17" t="n">
        <v>8</v>
      </c>
      <c r="H18" s="17" t="n">
        <v>8</v>
      </c>
      <c r="I18" s="17" t="n">
        <v>7</v>
      </c>
      <c r="J18" s="17" t="n">
        <v>6</v>
      </c>
      <c r="K18" s="17" t="n">
        <v>4</v>
      </c>
    </row>
    <row r="19">
      <c r="A19" s="17" t="inlineStr">
        <is>
          <t>u_kest</t>
        </is>
      </c>
      <c r="B19" s="17" t="n">
        <v>3</v>
      </c>
      <c r="C19" s="17" t="inlineStr">
        <is>
          <t>shadow</t>
        </is>
      </c>
      <c r="D19" s="17" t="n">
        <v>20</v>
      </c>
      <c r="E19" s="17" t="n">
        <v>5</v>
      </c>
      <c r="F19" s="17" t="n">
        <v>3</v>
      </c>
      <c r="G19" s="17" t="n">
        <v>8</v>
      </c>
      <c r="H19" s="17" t="n">
        <v>9</v>
      </c>
      <c r="I19" s="17" t="n">
        <v>9</v>
      </c>
      <c r="J19" s="17" t="n">
        <v>3</v>
      </c>
      <c r="K19" s="17" t="n">
        <v>4</v>
      </c>
    </row>
    <row r="20">
      <c r="A20" s="17" t="inlineStr">
        <is>
          <t>NOTE -- draft base-stat table, review before treating as canon. Starting level per tier: trained=5 and order=15 are stated outright in classes.notes ('single aptitude, lv5+' / 'lv15+, pair-certified'); commoner=1, personal=1, shadow=3, hybrid=5, paragon=30 have no stated floor and are this session's judgment call (paragon's 30 IS stated elsewhere, kept for consistency; unused by the 18 main units' base classes either way). Per-stat formula: stat = tier_baseline[stat] + round(growths[unit's growth_profile][stat] / 20) -- so personal differentiation traces to the growth_profile data already in the workbook rather than being hand-picked per unit. The tier baseline numbers themselves (TIER_BASE in the generating script) are entirely invented -- no class stat baseline exists anywhere in canon.xlsx. Worth checking: u_dietmar and u_torvald (both order-tier, gp_jagen) come out strong-now/grows-slowly by construction, the classic pre-promoted-knight pattern -- confirm that's the intended read for them specifically. Drafted by a Claude Code session, 2026-09-16.</t>
        </is>
      </c>
    </row>
  </sheetData>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R3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1" customWidth="1" style="17" min="1" max="1"/>
    <col width="20" customWidth="1" style="17" min="2" max="2"/>
    <col width="8" customWidth="1" style="17" min="3" max="4"/>
    <col width="14" customWidth="1" style="17" min="5" max="5"/>
    <col width="10" customWidth="1" style="17" min="6" max="6"/>
    <col width="40" customWidth="1" style="17" min="7" max="7"/>
    <col width="12" customWidth="1" style="17" min="8" max="8"/>
    <col width="52" customWidth="1" style="17" min="9" max="9"/>
    <col width="12" customWidth="1" style="17" min="10" max="10"/>
    <col width="22" customWidth="1" style="17" min="11" max="11"/>
    <col width="14" customWidth="1" style="17" min="12" max="12"/>
    <col width="16" customWidth="1" style="17" min="13" max="14"/>
    <col width="26" customWidth="1" style="17" min="15" max="15"/>
    <col width="22" customWidth="1" style="17" min="16" max="16"/>
    <col width="12" customWidth="1" style="17" min="17" max="17"/>
    <col width="28" customWidth="1" style="17" min="18" max="18"/>
  </cols>
  <sheetData>
    <row r="1" ht="30" customHeight="1" s="18">
      <c r="A1" s="21" t="inlineStr">
        <is>
          <t>map_id</t>
        </is>
      </c>
      <c r="B1" s="21" t="inlineStr">
        <is>
          <t>title</t>
        </is>
      </c>
      <c r="C1" s="21" t="inlineStr">
        <is>
          <t>width</t>
        </is>
      </c>
      <c r="D1" s="21" t="inlineStr">
        <is>
          <t>height</t>
        </is>
      </c>
      <c r="E1" s="21" t="inlineStr">
        <is>
          <t>objective_verb</t>
        </is>
      </c>
      <c r="F1" s="21" t="inlineStr">
        <is>
          <t>turn_limit</t>
        </is>
      </c>
      <c r="G1" s="21" t="inlineStr">
        <is>
          <t>terrain</t>
        </is>
      </c>
      <c r="H1" s="21" t="inlineStr">
        <is>
          <t>chapter_id</t>
        </is>
      </c>
      <c r="I1" s="21" t="inlineStr">
        <is>
          <t>design_note</t>
        </is>
      </c>
      <c r="J1" s="21" t="inlineStr">
        <is>
          <t>reuse_in_act3</t>
        </is>
      </c>
      <c r="K1" s="21" t="inlineStr">
        <is>
          <t>reinforcement_source</t>
        </is>
      </c>
      <c r="L1" s="21" t="inlineStr">
        <is>
          <t>den_capturable</t>
        </is>
      </c>
      <c r="M1" s="21" t="inlineStr">
        <is>
          <t>min_solution_units</t>
        </is>
      </c>
      <c r="N1" s="21" t="inlineStr">
        <is>
          <t>boss_gated_until_turn</t>
        </is>
      </c>
      <c r="O1" s="21" t="inlineStr">
        <is>
          <t>boss_gate_reason</t>
        </is>
      </c>
      <c r="P1" s="21" t="inlineStr">
        <is>
          <t>forced_deploy_ids</t>
        </is>
      </c>
      <c r="Q1" s="21" t="inlineStr">
        <is>
          <t>deploy_slots</t>
        </is>
      </c>
      <c r="R1" s="21" t="inlineStr">
        <is>
          <t>approaches</t>
        </is>
      </c>
    </row>
    <row r="2" ht="15" customHeight="1" s="18">
      <c r="A2" s="23" t="inlineStr">
        <is>
          <t>map_d01</t>
        </is>
      </c>
      <c r="B2" s="23" t="inlineStr">
        <is>
          <t>The tally house</t>
        </is>
      </c>
      <c r="C2" s="23" t="n">
        <v>14</v>
      </c>
      <c r="D2" s="23" t="n">
        <v>10</v>
      </c>
      <c r="E2" s="23" t="inlineStr">
        <is>
          <t>seize</t>
        </is>
      </c>
      <c r="F2" s="23" t="n">
        <v>10</v>
      </c>
      <c r="G2" s="23" t="inlineStr">
        <is>
          <t>Kaisareia docks, night</t>
        </is>
      </c>
      <c r="H2" s="23" t="inlineStr">
        <is>
          <t>ch_d01</t>
        </is>
      </c>
      <c r="I2" s="23" t="inlineStr">
        <is>
          <t>inverse-seize: reach and hold; neutral dockworkers mingle</t>
        </is>
      </c>
      <c r="J2" s="23" t="inlineStr">
        <is>
          <t>yes</t>
        </is>
      </c>
      <c r="K2" s="23" t="inlineStr">
        <is>
          <t>none</t>
        </is>
      </c>
      <c r="L2" s="23" t="inlineStr">
        <is>
          <t>no</t>
        </is>
      </c>
      <c r="M2" s="23" t="n">
        <v>2</v>
      </c>
      <c r="N2" s="23" t="n">
        <v>0</v>
      </c>
      <c r="O2" s="23" t="n"/>
      <c r="P2" s="23" t="n"/>
      <c r="Q2" s="23" t="n">
        <v>6</v>
      </c>
      <c r="R2" s="23" t="inlineStr">
        <is>
          <t>dock frontage|warehouse lane</t>
        </is>
      </c>
    </row>
    <row r="3" ht="15" customHeight="1" s="18">
      <c r="A3" s="23" t="inlineStr">
        <is>
          <t>map_d02</t>
        </is>
      </c>
      <c r="B3" s="23" t="inlineStr">
        <is>
          <t>The weighbridge</t>
        </is>
      </c>
      <c r="C3" s="23" t="n">
        <v>16</v>
      </c>
      <c r="D3" s="23" t="n">
        <v>12</v>
      </c>
      <c r="E3" s="23" t="inlineStr">
        <is>
          <t>seize</t>
        </is>
      </c>
      <c r="F3" s="23" t="n">
        <v>0</v>
      </c>
      <c r="G3" s="23" t="inlineStr">
        <is>
          <t>the Vashti estates, hedgerows block riding</t>
        </is>
      </c>
      <c r="H3" s="23" t="inlineStr">
        <is>
          <t>ch_d02</t>
        </is>
      </c>
      <c r="I3" s="23" t="inlineStr">
        <is>
          <t>conscript levies flee below half HP, counted separately</t>
        </is>
      </c>
      <c r="J3" s="23" t="inlineStr">
        <is>
          <t>yes</t>
        </is>
      </c>
      <c r="K3" s="23" t="inlineStr">
        <is>
          <t>den</t>
        </is>
      </c>
      <c r="L3" s="23" t="inlineStr">
        <is>
          <t>yes</t>
        </is>
      </c>
      <c r="M3" s="23" t="n">
        <v>2</v>
      </c>
      <c r="N3" s="23" t="n">
        <v>0</v>
      </c>
      <c r="O3" s="23" t="n"/>
      <c r="P3" s="23" t="n"/>
      <c r="Q3" s="23" t="n">
        <v>8</v>
      </c>
      <c r="R3" s="23" t="inlineStr">
        <is>
          <t>hedgerow foot path|open road (riding)|the weighbridge itself</t>
        </is>
      </c>
    </row>
    <row r="4" ht="15" customHeight="1" s="18">
      <c r="A4" s="23" t="inlineStr">
        <is>
          <t>map_d03</t>
        </is>
      </c>
      <c r="B4" s="23" t="inlineStr">
        <is>
          <t>The grain road</t>
        </is>
      </c>
      <c r="C4" s="23" t="n">
        <v>20</v>
      </c>
      <c r="D4" s="23" t="n">
        <v>14</v>
      </c>
      <c r="E4" s="23" t="inlineStr">
        <is>
          <t>escort</t>
        </is>
      </c>
      <c r="F4" s="23" t="n">
        <v>0</v>
      </c>
      <c r="G4" s="23" t="inlineStr">
        <is>
          <t>bridge choke + southern foot-only ford</t>
        </is>
      </c>
      <c r="H4" s="23" t="inlineStr">
        <is>
          <t>ch_d03</t>
        </is>
      </c>
      <c r="I4" s="23" t="inlineStr">
        <is>
          <t>escort 2 of 3 wagons, move 4; turn 8 NE reinforcements</t>
        </is>
      </c>
      <c r="J4" s="23" t="inlineStr">
        <is>
          <t>yes</t>
        </is>
      </c>
      <c r="K4" s="23" t="inlineStr">
        <is>
          <t>den</t>
        </is>
      </c>
      <c r="L4" s="23" t="inlineStr">
        <is>
          <t>yes</t>
        </is>
      </c>
      <c r="M4" s="23" t="n">
        <v>3</v>
      </c>
      <c r="N4" s="23" t="n">
        <v>0</v>
      </c>
      <c r="O4" s="23" t="n"/>
      <c r="P4" s="23" t="n"/>
      <c r="Q4" s="23" t="n">
        <v>8</v>
      </c>
      <c r="R4" s="23" t="inlineStr">
        <is>
          <t>bridge choke|southern ford (foot only)|north bank escort line</t>
        </is>
      </c>
    </row>
    <row r="5" ht="15" customHeight="1" s="18">
      <c r="A5" s="23" t="inlineStr">
        <is>
          <t>map_a01</t>
        </is>
      </c>
      <c r="B5" s="23" t="inlineStr">
        <is>
          <t>The winter dole</t>
        </is>
      </c>
      <c r="C5" s="23" t="n">
        <v>16</v>
      </c>
      <c r="D5" s="23" t="n">
        <v>12</v>
      </c>
      <c r="E5" s="23" t="inlineStr">
        <is>
          <t>escort</t>
        </is>
      </c>
      <c r="F5" s="23" t="n">
        <v>0</v>
      </c>
      <c r="G5" s="23" t="inlineStr">
        <is>
          <t>miasma tiles, ice slips</t>
        </is>
      </c>
      <c r="H5" s="23" t="inlineStr">
        <is>
          <t>ch_a01</t>
        </is>
      </c>
      <c r="I5" s="23" t="inlineStr">
        <is>
          <t>neutral civilians chase the cart; looters kill them if unshielded</t>
        </is>
      </c>
      <c r="J5" s="23" t="inlineStr">
        <is>
          <t>yes</t>
        </is>
      </c>
      <c r="K5" s="23" t="inlineStr">
        <is>
          <t>none</t>
        </is>
      </c>
      <c r="L5" s="23" t="inlineStr">
        <is>
          <t>no</t>
        </is>
      </c>
      <c r="M5" s="23" t="n">
        <v>2</v>
      </c>
      <c r="N5" s="23" t="n">
        <v>0</v>
      </c>
      <c r="O5" s="23" t="n"/>
      <c r="P5" s="23" t="n"/>
      <c r="Q5" s="23" t="n">
        <v>8</v>
      </c>
      <c r="R5" s="23" t="inlineStr">
        <is>
          <t>the dole road|the ice (risky, fast)</t>
        </is>
      </c>
    </row>
    <row r="6" ht="15" customHeight="1" s="18">
      <c r="A6" s="23" t="inlineStr">
        <is>
          <t>map_a02</t>
        </is>
      </c>
      <c r="B6" s="23" t="inlineStr">
        <is>
          <t>The still night</t>
        </is>
      </c>
      <c r="C6" s="23" t="n">
        <v>18</v>
      </c>
      <c r="D6" s="23" t="n">
        <v>12</v>
      </c>
      <c r="E6" s="23" t="inlineStr">
        <is>
          <t>defend</t>
        </is>
      </c>
      <c r="F6" s="23" t="n">
        <v>8</v>
      </c>
      <c r="G6" s="23" t="inlineStr">
        <is>
          <t>three streets of differing widths, crowd tiles</t>
        </is>
      </c>
      <c r="H6" s="23" t="inlineStr">
        <is>
          <t>ch_a02</t>
        </is>
      </c>
      <c r="I6" s="23" t="inlineStr">
        <is>
          <t>preacher converts 1 townsfolk/turn; kill / answer / capture</t>
        </is>
      </c>
      <c r="J6" s="23" t="inlineStr">
        <is>
          <t>yes</t>
        </is>
      </c>
      <c r="K6" s="23" t="inlineStr">
        <is>
          <t>den</t>
        </is>
      </c>
      <c r="L6" s="23" t="inlineStr">
        <is>
          <t>yes</t>
        </is>
      </c>
      <c r="M6" s="23" t="n">
        <v>3</v>
      </c>
      <c r="N6" s="23" t="n">
        <v>0</v>
      </c>
      <c r="O6" s="23" t="n"/>
      <c r="P6" s="23" t="n"/>
      <c r="Q6" s="23" t="n">
        <v>9</v>
      </c>
      <c r="R6" s="23" t="inlineStr">
        <is>
          <t>wide street (riding)|narrow street (foot)|rooftops (flying)</t>
        </is>
      </c>
    </row>
    <row r="7" ht="23.25" customHeight="1" s="18">
      <c r="A7" s="23" t="inlineStr">
        <is>
          <t>map_a03</t>
        </is>
      </c>
      <c r="B7" s="23" t="inlineStr">
        <is>
          <t>The chapterhouse</t>
        </is>
      </c>
      <c r="C7" s="23" t="n">
        <v>17</v>
      </c>
      <c r="D7" s="23" t="n">
        <v>12</v>
      </c>
      <c r="E7" s="23" t="inlineStr">
        <is>
          <t>escape</t>
        </is>
      </c>
      <c r="F7" s="23" t="n">
        <v>0</v>
      </c>
      <c r="G7" s="23" t="inlineStr">
        <is>
          <t>ruined priory, cold drains 2 HP/turn outdoors</t>
        </is>
      </c>
      <c r="H7" s="23" t="inlineStr">
        <is>
          <t>ch_a03</t>
        </is>
      </c>
      <c r="I7" s="23" t="inlineStr">
        <is>
          <t>relic hunters reinforce every 3 turns forever; reliquary take-or-give</t>
        </is>
      </c>
      <c r="J7" s="23" t="inlineStr">
        <is>
          <t>yes</t>
        </is>
      </c>
      <c r="K7" s="23" t="inlineStr">
        <is>
          <t>den</t>
        </is>
      </c>
      <c r="L7" s="23" t="inlineStr">
        <is>
          <t>yes</t>
        </is>
      </c>
      <c r="M7" s="23" t="n">
        <v>2</v>
      </c>
      <c r="N7" s="23" t="n">
        <v>0</v>
      </c>
      <c r="O7" s="23" t="n"/>
      <c r="P7" s="23" t="n"/>
      <c r="Q7" s="23" t="n">
        <v>9</v>
      </c>
      <c r="R7" s="23" t="inlineStr">
        <is>
          <t>cloister (indoors, no cold)|open ward (fast, costly)</t>
        </is>
      </c>
    </row>
    <row r="8" ht="23.25" customHeight="1" s="18">
      <c r="A8" s="23" t="inlineStr">
        <is>
          <t>map_x11</t>
        </is>
      </c>
      <c r="B8" s="23" t="inlineStr">
        <is>
          <t>The Second Writ</t>
        </is>
      </c>
      <c r="C8" s="23" t="n">
        <v>24</v>
      </c>
      <c r="D8" s="23" t="n">
        <v>16</v>
      </c>
      <c r="E8" s="23" t="inlineStr">
        <is>
          <t>escort</t>
        </is>
      </c>
      <c r="F8" s="23" t="n">
        <v>9</v>
      </c>
      <c r="G8" s="23" t="inlineStr">
        <is>
          <t>muster field, river with two crossings</t>
        </is>
      </c>
      <c r="H8" s="23" t="inlineStr">
        <is>
          <t>ch_x11</t>
        </is>
      </c>
      <c r="I8" s="23" t="inlineStr">
        <is>
          <t>two simultaneous timed objectives at opposite edges; one force cannot do both</t>
        </is>
      </c>
      <c r="J8" s="23" t="inlineStr">
        <is>
          <t>no</t>
        </is>
      </c>
      <c r="K8" s="23" t="inlineStr">
        <is>
          <t>den</t>
        </is>
      </c>
      <c r="L8" s="23" t="inlineStr">
        <is>
          <t>yes</t>
        </is>
      </c>
      <c r="M8" s="23" t="n">
        <v>4</v>
      </c>
      <c r="N8" s="23" t="n">
        <v>0</v>
      </c>
      <c r="O8" s="23" t="n"/>
      <c r="P8" s="23" t="n"/>
      <c r="Q8" s="23" t="n">
        <v>99</v>
      </c>
      <c r="R8" s="23" t="inlineStr">
        <is>
          <t>west crossing|east crossing</t>
        </is>
      </c>
    </row>
    <row r="9" ht="23.25" customHeight="1" s="18">
      <c r="A9" s="23" t="inlineStr">
        <is>
          <t>map_b15</t>
        </is>
      </c>
      <c r="B9" s="23" t="inlineStr">
        <is>
          <t>The going rate</t>
        </is>
      </c>
      <c r="C9" s="23" t="n">
        <v>18</v>
      </c>
      <c r="D9" s="23" t="n">
        <v>14</v>
      </c>
      <c r="E9" s="23" t="inlineStr">
        <is>
          <t>purchase</t>
        </is>
      </c>
      <c r="F9" s="23" t="n">
        <v>0</v>
      </c>
      <c r="G9" s="23" t="inlineStr">
        <is>
          <t>caravanserai; awnings block flight, arcade blocks bows</t>
        </is>
      </c>
      <c r="H9" s="23" t="inlineStr">
        <is>
          <t>ch_b15</t>
        </is>
      </c>
      <c r="I9" s="23" t="inlineStr">
        <is>
          <t>prices rise per turn a fight is visible; preachers convert green levies</t>
        </is>
      </c>
      <c r="J9" s="23" t="inlineStr">
        <is>
          <t>no</t>
        </is>
      </c>
      <c r="K9" s="23" t="inlineStr">
        <is>
          <t>none</t>
        </is>
      </c>
      <c r="L9" s="23" t="inlineStr">
        <is>
          <t>no</t>
        </is>
      </c>
      <c r="M9" s="23" t="n">
        <v>3</v>
      </c>
      <c r="N9" s="23" t="n">
        <v>0</v>
      </c>
      <c r="O9" s="23" t="n"/>
      <c r="P9" s="23" t="n"/>
      <c r="Q9" s="23" t="n">
        <v>8</v>
      </c>
      <c r="R9" s="23" t="inlineStr">
        <is>
          <t>the arcade (blocks bows)|the open bazaar|the porters' alley</t>
        </is>
      </c>
    </row>
    <row r="10" ht="79.5" customHeight="1" s="18">
      <c r="A10" s="23" t="inlineStr">
        <is>
          <t>map_d05</t>
        </is>
      </c>
      <c r="B10" s="23" t="inlineStr">
        <is>
          <t>The grain fleet</t>
        </is>
      </c>
      <c r="C10" s="23" t="n">
        <v>22</v>
      </c>
      <c r="D10" s="23" t="n">
        <v>12</v>
      </c>
      <c r="E10" s="23" t="inlineStr">
        <is>
          <t>survive</t>
        </is>
      </c>
      <c r="F10" s="23" t="n">
        <v>10</v>
      </c>
      <c r="G10" s="23" t="inlineStr">
        <is>
          <t>three lashed decks; open water at every edge; no terrain to hide behind</t>
        </is>
      </c>
      <c r="H10" s="23" t="inlineStr">
        <is>
          <t>ch_d05</t>
        </is>
      </c>
      <c r="I10" s="23" t="inlineStr">
        <is>
          <t>VOYAGE not battle: the fleet is under way and the objective is landfall. Privateers board from the map edges. GRAPPLE LINES ARE THE DENS -- each is a capturable structure that stops producing when cut, so boarding is an objective, not an ambush. Fliers dominant, riding impossible, armor sinks if it goes over the side. The Assembly could not build this fleet, so it bought one; the privateers were paid for in Anbar.</t>
        </is>
      </c>
      <c r="J10" s="23" t="inlineStr">
        <is>
          <t>no</t>
        </is>
      </c>
      <c r="K10" s="23" t="inlineStr">
        <is>
          <t>den</t>
        </is>
      </c>
      <c r="L10" s="23" t="inlineStr">
        <is>
          <t>yes</t>
        </is>
      </c>
      <c r="M10" s="23" t="n">
        <v>3</v>
      </c>
      <c r="N10" s="23" t="n">
        <v>0</v>
      </c>
      <c r="O10" s="23" t="n"/>
      <c r="P10" s="23" t="n"/>
      <c r="Q10" s="23" t="n">
        <v>10</v>
      </c>
      <c r="R10" s="23" t="inlineStr">
        <is>
          <t>the weather deck|below, through the hold|the rigging (flying only)</t>
        </is>
      </c>
    </row>
    <row r="11" ht="15" customHeight="1" s="18">
      <c r="A11" s="23" t="inlineStr">
        <is>
          <t>map_f00</t>
        </is>
      </c>
      <c r="B11" s="23" t="inlineStr">
        <is>
          <t>Ur-Nashet, the last night</t>
        </is>
      </c>
      <c r="C11" s="23" t="n">
        <v>24</v>
      </c>
      <c r="D11" s="23" t="n">
        <v>16</v>
      </c>
      <c r="E11" s="23" t="inlineStr">
        <is>
          <t>seize</t>
        </is>
      </c>
      <c r="F11" s="23" t="n">
        <v>0</v>
      </c>
      <c r="G11" s="23" t="inlineStr">
        <is>
          <t>hanging gardens in rain: stepped terraces (+1 cost when wet), irrigation channels, one aqueduct span</t>
        </is>
      </c>
      <c r="H11" s="23" t="inlineStr">
        <is>
          <t>ch_f00</t>
        </is>
      </c>
      <c r="I11" s="23" t="inlineStr">
        <is>
          <t>PROLOGUE. Breaks the map laws on purpose -- a flashback is a memory, and memories are unreliable in the direction of making you look stronger than you were. No permadeath, no dens, no requisition, no forge, one weapon each, no repair. The garrison is fatigued and not a threat. The living patron stands over the temple terrace, never moves, never attacks, has no health bar, and watches. It goes still only AFTER the image is rubble and the scribe writes -- you cannot write down a god that people can still see.</t>
        </is>
      </c>
      <c r="J11" s="23" t="inlineStr">
        <is>
          <t>no</t>
        </is>
      </c>
      <c r="K11" s="23" t="inlineStr">
        <is>
          <t>none</t>
        </is>
      </c>
      <c r="L11" s="23" t="inlineStr">
        <is>
          <t>no</t>
        </is>
      </c>
      <c r="M11" s="23" t="n">
        <v>7</v>
      </c>
      <c r="N11" s="23" t="n">
        <v>0</v>
      </c>
      <c r="O11" s="23" t="n"/>
      <c r="P11" s="23" t="n"/>
      <c r="Q11" s="23" t="n">
        <v>8</v>
      </c>
      <c r="R11" s="23" t="inlineStr">
        <is>
          <t>the terraces (foot)|the aqueduct span (one tile)|the channels (flying only)</t>
        </is>
      </c>
    </row>
    <row r="12">
      <c r="A12" s="23" t="inlineStr">
        <is>
          <t>map_v21</t>
        </is>
      </c>
      <c r="B12" s="23" t="inlineStr">
        <is>
          <t>The Unstained Seat</t>
        </is>
      </c>
      <c r="C12" s="23" t="n">
        <v>18</v>
      </c>
      <c r="D12" s="23" t="n">
        <v>12</v>
      </c>
      <c r="E12" s="23" t="inlineStr">
        <is>
          <t>seize</t>
        </is>
      </c>
      <c r="F12" s="23" t="n">
        <v>0</v>
      </c>
      <c r="G12" s="23" t="inlineStr">
        <is>
          <t>Vashti, in the Ashland -- volcanic ash flats and an old stone road</t>
        </is>
      </c>
      <c r="H12" s="23" t="inlineStr">
        <is>
          <t>ch_v21</t>
        </is>
      </c>
      <c r="I12" s="23" t="inlineStr">
        <is>
          <t>Terrain/encounter_spawns/scene built (Act2 fleshing-out pass). Satisfies sects.sect_vashti's declared act2_chapter_count=2. 'no talk conversations available on their seat map' (sect_vashti's own notes) -- combat only, no dialogue resolution path.</t>
        </is>
      </c>
      <c r="J12" s="23" t="inlineStr">
        <is>
          <t>yes</t>
        </is>
      </c>
      <c r="K12" s="23" t="inlineStr">
        <is>
          <t>den</t>
        </is>
      </c>
      <c r="L12" s="23" t="inlineStr">
        <is>
          <t>yes</t>
        </is>
      </c>
      <c r="M12" s="23" t="n">
        <v>2</v>
      </c>
      <c r="N12" s="23" t="n">
        <v>0</v>
      </c>
      <c r="O12" s="23" t="n"/>
      <c r="P12" s="23" t="n"/>
      <c r="Q12" s="23" t="n">
        <v>8</v>
      </c>
      <c r="R12" s="23" t="inlineStr">
        <is>
          <t>ash flats (foot)|the old road (riding)</t>
        </is>
      </c>
    </row>
    <row r="13" ht="15" customHeight="1" s="18">
      <c r="A13" s="23" t="inlineStr">
        <is>
          <t>map_v22</t>
        </is>
      </c>
      <c r="B13" s="23" t="inlineStr">
        <is>
          <t>Re-Made Clean</t>
        </is>
      </c>
      <c r="C13" s="23" t="n">
        <v>16</v>
      </c>
      <c r="D13" s="23" t="n">
        <v>12</v>
      </c>
      <c r="E13" s="23" t="inlineStr">
        <is>
          <t>defend</t>
        </is>
      </c>
      <c r="F13" s="23" t="n">
        <v>8</v>
      </c>
      <c r="G13" s="23" t="inlineStr">
        <is>
          <t>a shrine mid-reconsecration, complicit hands scrubbed from its stones</t>
        </is>
      </c>
      <c r="H13" s="23" t="inlineStr">
        <is>
          <t>ch_v22</t>
        </is>
      </c>
      <c r="I13" s="23" t="inlineStr">
        <is>
          <t>Terrain/encounter_spawns/scene built (Act2 fleshing-out pass). See map_v21's own note. Defend shape grounded in sect_vashti's doctrine: 'sacraments from complicit hands are void; the veneration must be re-made clean' -- the ritual itself is the thing being protected.</t>
        </is>
      </c>
      <c r="J13" s="23" t="inlineStr">
        <is>
          <t>yes</t>
        </is>
      </c>
      <c r="K13" s="23" t="inlineStr">
        <is>
          <t>den</t>
        </is>
      </c>
      <c r="L13" s="23" t="inlineStr">
        <is>
          <t>yes</t>
        </is>
      </c>
      <c r="M13" s="23" t="n">
        <v>2</v>
      </c>
      <c r="N13" s="23" t="n">
        <v>0</v>
      </c>
      <c r="O13" s="23" t="n"/>
      <c r="P13" s="23" t="n"/>
      <c r="Q13" s="23" t="n">
        <v>8</v>
      </c>
      <c r="R13" s="23" t="inlineStr">
        <is>
          <t>the nave (foot)|the cloister walk (flying blocked)</t>
        </is>
      </c>
    </row>
    <row r="14" ht="15" customHeight="1" s="18">
      <c r="A14" s="23" t="inlineStr">
        <is>
          <t>map_c21</t>
        </is>
      </c>
      <c r="B14" s="23" t="inlineStr">
        <is>
          <t>The Vetch Reunion</t>
        </is>
      </c>
      <c r="C14" s="23" t="n">
        <v>18</v>
      </c>
      <c r="D14" s="23" t="n">
        <v>12</v>
      </c>
      <c r="E14" s="23" t="inlineStr">
        <is>
          <t>defend</t>
        </is>
      </c>
      <c r="F14" s="23" t="n">
        <v>6</v>
      </c>
      <c r="G14" s="23" t="inlineStr">
        <is>
          <t>a homecoming hall at Vetch, sect_court's alternate seat</t>
        </is>
      </c>
      <c r="H14" s="23" t="inlineStr">
        <is>
          <t>ch_c21</t>
        </is>
      </c>
      <c r="I14" s="23" t="inlineStr">
        <is>
          <t>Terrain/encounter_spawns/scene built (Act2 fleshing-out pass). Satisfies sects.sect_court's declared act2_chapter_count=1. Taken directly from sect_court's own notes: 'grows the Grand Inquisitor; home-front thread, ambushes at reunion.'</t>
        </is>
      </c>
      <c r="J14" s="23" t="inlineStr">
        <is>
          <t>yes</t>
        </is>
      </c>
      <c r="K14" s="23" t="inlineStr">
        <is>
          <t>den</t>
        </is>
      </c>
      <c r="L14" s="23" t="inlineStr">
        <is>
          <t>yes</t>
        </is>
      </c>
      <c r="M14" s="23" t="n">
        <v>2</v>
      </c>
      <c r="N14" s="23" t="n">
        <v>0</v>
      </c>
      <c r="O14" s="23" t="n"/>
      <c r="P14" s="23" t="n"/>
      <c r="Q14" s="23" t="n">
        <v>8</v>
      </c>
      <c r="R14" s="23" t="inlineStr">
        <is>
          <t>the hall (foot)|the courtyard (riding)</t>
        </is>
      </c>
    </row>
    <row r="15">
      <c r="A15" s="23" t="inlineStr">
        <is>
          <t>map_m21</t>
        </is>
      </c>
      <c r="B15" s="23" t="inlineStr">
        <is>
          <t>The Drowned March</t>
        </is>
      </c>
      <c r="C15" s="23" t="n">
        <v>20</v>
      </c>
      <c r="D15" s="23" t="n">
        <v>14</v>
      </c>
      <c r="E15" s="23" t="inlineStr">
        <is>
          <t>escort</t>
        </is>
      </c>
      <c r="F15" s="23" t="n">
        <v>0</v>
      </c>
      <c r="G15" s="23" t="inlineStr">
        <is>
          <t>flooded lowlands, the Continuing Word's seat -- title is the seat name verbatim</t>
        </is>
      </c>
      <c r="H15" s="23" t="inlineStr">
        <is>
          <t>ch_m21</t>
        </is>
      </c>
      <c r="I15" s="23" t="inlineStr">
        <is>
          <t>Terrain/encounter_spawns/scene built (Act2 fleshing-out pass). One of two chapters satisfying sects.sect_march's declared act2_chapter_count=2. sect_march's own notes: 'new scripture is still arriving, dictated, in progress -- chapters can be added between the player's Act 2 visits' and 'Prophecy NPCs convert green levies' (same unmodeled conversion mechanic as map_a02/map_b15, not a new system).</t>
        </is>
      </c>
      <c r="J15" s="23" t="inlineStr">
        <is>
          <t>yes</t>
        </is>
      </c>
      <c r="K15" s="23" t="inlineStr">
        <is>
          <t>den</t>
        </is>
      </c>
      <c r="L15" s="23" t="inlineStr">
        <is>
          <t>yes</t>
        </is>
      </c>
      <c r="M15" s="23" t="n">
        <v>3</v>
      </c>
      <c r="N15" s="23" t="n">
        <v>0</v>
      </c>
      <c r="O15" s="23" t="n"/>
      <c r="P15" s="23" t="n"/>
      <c r="Q15" s="23" t="n">
        <v>8</v>
      </c>
      <c r="R15" s="23" t="inlineStr">
        <is>
          <t>the causeway (foot)|open floodwater (flying only)</t>
        </is>
      </c>
    </row>
    <row r="16">
      <c r="A16" s="23" t="inlineStr">
        <is>
          <t>map_m22</t>
        </is>
      </c>
      <c r="B16" s="23" t="inlineStr">
        <is>
          <t>The Same Archive</t>
        </is>
      </c>
      <c r="C16" s="23" t="n">
        <v>16</v>
      </c>
      <c r="D16" s="23" t="n">
        <v>12</v>
      </c>
      <c r="E16" s="23" t="inlineStr">
        <is>
          <t>defend</t>
        </is>
      </c>
      <c r="F16" s="23" t="n">
        <v>8</v>
      </c>
      <c r="G16" s="23" t="inlineStr">
        <is>
          <t>a parish-records archive both prophets and crown clerks are working</t>
        </is>
      </c>
      <c r="H16" s="23" t="inlineStr">
        <is>
          <t>ch_m22</t>
        </is>
      </c>
      <c r="I16" s="23" t="inlineStr">
        <is>
          <t>Terrain/encounter_spawns/scene built (Act2 fleshing-out pass). See map_m21's own note, second of sect_march's two declared chapters. Grounded in sect_march's own notes: 'rebaptising the dead by name off the parish lists... puts the prophets and the crown's clerks in the same archive for opposite reasons.'</t>
        </is>
      </c>
      <c r="J16" s="23" t="inlineStr">
        <is>
          <t>yes</t>
        </is>
      </c>
      <c r="K16" s="23" t="inlineStr">
        <is>
          <t>none</t>
        </is>
      </c>
      <c r="L16" s="23" t="inlineStr">
        <is>
          <t>no</t>
        </is>
      </c>
      <c r="M16" s="23" t="n">
        <v>2</v>
      </c>
      <c r="N16" s="23" t="n">
        <v>0</v>
      </c>
      <c r="O16" s="23" t="n"/>
      <c r="P16" s="23" t="n"/>
      <c r="Q16" s="23" t="n">
        <v>8</v>
      </c>
      <c r="R16" s="23" t="inlineStr">
        <is>
          <t>the reading room (foot)|the stacks (foot only)</t>
        </is>
      </c>
    </row>
    <row r="17">
      <c r="A17" s="23" t="inlineStr">
        <is>
          <t>map_r16</t>
        </is>
      </c>
      <c r="B17" s="23" t="inlineStr">
        <is>
          <t>The Toll League</t>
        </is>
      </c>
      <c r="C17" s="23" t="n">
        <v>20</v>
      </c>
      <c r="D17" s="23" t="n">
        <v>14</v>
      </c>
      <c r="E17" s="23" t="inlineStr">
        <is>
          <t>purchase</t>
        </is>
      </c>
      <c r="F17" s="23" t="n">
        <v>0</v>
      </c>
      <c r="G17" s="23" t="inlineStr">
        <is>
          <t>the Company of the Road's sovereign toll-city</t>
        </is>
      </c>
      <c r="H17" s="23" t="inlineStr">
        <is>
          <t>ch_r16</t>
        </is>
      </c>
      <c r="I17" s="23" t="inlineStr">
        <is>
          <t>Terrain/encounter_spawns/scene built (Act2 fleshing-out pass). Satisfies sects.sect_road's declared act2_chapter_count=2 (map_b15 is the first). Title is sect_road's own sovereign seat name. Reuses map_b15's 'purchase' objective_verb -- 'redemption is a purchase word' is this sect's own doctrine, not a coincidence.</t>
        </is>
      </c>
      <c r="J17" s="23" t="inlineStr">
        <is>
          <t>yes</t>
        </is>
      </c>
      <c r="K17" s="23" t="inlineStr">
        <is>
          <t>none</t>
        </is>
      </c>
      <c r="L17" s="23" t="inlineStr">
        <is>
          <t>no</t>
        </is>
      </c>
      <c r="M17" s="23" t="n">
        <v>3</v>
      </c>
      <c r="N17" s="23" t="n">
        <v>0</v>
      </c>
      <c r="O17" s="23" t="n"/>
      <c r="P17" s="23" t="n"/>
      <c r="Q17" s="23" t="n">
        <v>8</v>
      </c>
      <c r="R17" s="23" t="inlineStr">
        <is>
          <t>the toll road (riding)|the counting house (foot)</t>
        </is>
      </c>
    </row>
    <row r="18">
      <c r="A18" s="23" t="inlineStr">
        <is>
          <t>map_e31</t>
        </is>
      </c>
      <c r="B18" s="23" t="inlineStr">
        <is>
          <t>The Ledger Comes Due</t>
        </is>
      </c>
      <c r="C18" s="23" t="n">
        <v>22</v>
      </c>
      <c r="D18" s="23" t="n">
        <v>16</v>
      </c>
      <c r="E18" s="23" t="inlineStr">
        <is>
          <t>defend</t>
        </is>
      </c>
      <c r="F18" s="23" t="n">
        <v>10</v>
      </c>
      <c r="G18" s="23" t="inlineStr">
        <is>
          <t>the Company of the Road's home ground, tallying what's owed</t>
        </is>
      </c>
      <c r="H18" s="23" t="inlineStr">
        <is>
          <t>ch_e31</t>
        </is>
      </c>
      <c r="I18" s="23" t="inlineStr">
        <is>
          <t>Terrain/encounter_spawns/scene built (Act3 fleshing-out pass). Buildup chapter for the Enlightened One's ascension fork (sect_road, CANON per the_claimant). MAP LAWS' 20x25-30x20 Act 3 sizing band is aimed for loosely, not hit exactly, for a skeleton pass.</t>
        </is>
      </c>
      <c r="J18" s="23" t="inlineStr">
        <is>
          <t>no</t>
        </is>
      </c>
      <c r="K18" s="23" t="inlineStr">
        <is>
          <t>den</t>
        </is>
      </c>
      <c r="L18" s="23" t="inlineStr">
        <is>
          <t>yes</t>
        </is>
      </c>
      <c r="M18" s="23" t="n">
        <v>3</v>
      </c>
      <c r="N18" s="23" t="n">
        <v>0</v>
      </c>
      <c r="O18" s="23" t="n"/>
      <c r="P18" s="23" t="n"/>
      <c r="Q18" s="23" t="n">
        <v>9</v>
      </c>
      <c r="R18" s="23" t="inlineStr">
        <is>
          <t>the counting floor (foot)|the loading yard (riding)</t>
        </is>
      </c>
    </row>
    <row r="19">
      <c r="A19" s="23" t="inlineStr">
        <is>
          <t>map_e32_sanctified</t>
        </is>
      </c>
      <c r="B19" s="23" t="inlineStr">
        <is>
          <t>Sanctification</t>
        </is>
      </c>
      <c r="C19" s="23" t="n">
        <v>26</v>
      </c>
      <c r="D19" s="23" t="n">
        <v>18</v>
      </c>
      <c r="E19" s="23" t="inlineStr">
        <is>
          <t>defend</t>
        </is>
      </c>
      <c r="F19" s="23" t="n">
        <v>0</v>
      </c>
      <c r="G19" s="23" t="inlineStr">
        <is>
          <t>the deposed patrons of the Hundred Cities, made legion -- ranks assembled, not born</t>
        </is>
      </c>
      <c r="H19" s="23" t="inlineStr">
        <is>
          <t>ch_e32_sanctified</t>
        </is>
      </c>
      <c r="I19" s="23" t="inlineStr">
        <is>
          <t>Terrain/encounter_spawns/scene built (Act3 fleshing-out pass). end_sanctified terminal: 'NOT a boss fight against him. The party fights the deposed patrons of the Hundred Cities -- the full Lesser Key roster, ranks and legions made literal and playable for the first time -- as they resist being absorbed.' No specific roster is invented here -- that's real future content (a Lesser Key enemy set), not stubbed in this pass.</t>
        </is>
      </c>
      <c r="J19" s="23" t="inlineStr">
        <is>
          <t>no</t>
        </is>
      </c>
      <c r="K19" s="23" t="inlineStr">
        <is>
          <t>den</t>
        </is>
      </c>
      <c r="L19" s="23" t="inlineStr">
        <is>
          <t>yes</t>
        </is>
      </c>
      <c r="M19" s="23" t="n">
        <v>4</v>
      </c>
      <c r="N19" s="23" t="n">
        <v>0</v>
      </c>
      <c r="O19" s="23" t="n"/>
      <c r="P19" s="23" t="n"/>
      <c r="Q19" s="23" t="n">
        <v>10</v>
      </c>
      <c r="R19" s="23" t="inlineStr">
        <is>
          <t>the processional (foot)|the high road (riding)|open sky (flying)</t>
        </is>
      </c>
    </row>
    <row r="20">
      <c r="A20" s="23" t="inlineStr">
        <is>
          <t>map_e32_perverse</t>
        </is>
      </c>
      <c r="B20" s="23" t="inlineStr">
        <is>
          <t>The Idol</t>
        </is>
      </c>
      <c r="C20" s="23" t="n">
        <v>24</v>
      </c>
      <c r="D20" s="23" t="n">
        <v>18</v>
      </c>
      <c r="E20" s="23" t="inlineStr">
        <is>
          <t>seize</t>
        </is>
      </c>
      <c r="F20" s="23" t="n">
        <v>0</v>
      </c>
      <c r="G20" s="23" t="inlineStr">
        <is>
          <t>assembled from what was taken -- a false godhood given a body</t>
        </is>
      </c>
      <c r="H20" s="23" t="inlineStr">
        <is>
          <t>ch_e32_perverse</t>
        </is>
      </c>
      <c r="I20" s="23" t="inlineStr">
        <is>
          <t>Terrain/encounter_spawns/scene built (Act3 fleshing-out pass). end_perverse terminal: 'the party fights HIM directly. VISUAL CONVERGENCE WITH THE IDOL, deliberate.' No reinforcement den -- this reads as a direct, personal fight per that same text, not an attritional one.</t>
        </is>
      </c>
      <c r="J20" s="23" t="inlineStr">
        <is>
          <t>no</t>
        </is>
      </c>
      <c r="K20" s="23" t="inlineStr">
        <is>
          <t>none</t>
        </is>
      </c>
      <c r="L20" s="23" t="inlineStr">
        <is>
          <t>no</t>
        </is>
      </c>
      <c r="M20" s="23" t="n">
        <v>2</v>
      </c>
      <c r="N20" s="23" t="n">
        <v>0</v>
      </c>
      <c r="O20" s="23" t="n"/>
      <c r="P20" s="23" t="n"/>
      <c r="Q20" s="23" t="n">
        <v>9</v>
      </c>
      <c r="R20" s="23" t="inlineStr">
        <is>
          <t>the approach (foot)|the colossus itself (any)</t>
        </is>
      </c>
    </row>
    <row r="21">
      <c r="A21" s="23" t="inlineStr">
        <is>
          <t>map_h31</t>
        </is>
      </c>
      <c r="B21" s="23" t="inlineStr">
        <is>
          <t>The Capture</t>
        </is>
      </c>
      <c r="C21" s="23" t="n">
        <v>22</v>
      </c>
      <c r="D21" s="23" t="n">
        <v>16</v>
      </c>
      <c r="E21" s="23" t="inlineStr">
        <is>
          <t>seize</t>
        </is>
      </c>
      <c r="F21" s="23" t="n">
        <v>0</v>
      </c>
      <c r="G21" s="23" t="inlineStr">
        <is>
          <t>a literal conquest -- march, forced conversion, crusade logic, not economic absorption</t>
        </is>
      </c>
      <c r="H21" s="23" t="inlineStr">
        <is>
          <t>ch_h31</t>
        </is>
      </c>
      <c r="I21" s="23" t="inlineStr">
        <is>
          <t>Terrain/encounter_spawns/scene built (Act3 fleshing-out pass). end_hierophant's shared lead-up: 'the defense scenario is a literal conquest.' sect_id on ch_h31 is resolved to sect_march -- see the_hierophant tab.</t>
        </is>
      </c>
      <c r="J21" s="23" t="inlineStr">
        <is>
          <t>no</t>
        </is>
      </c>
      <c r="K21" s="23" t="inlineStr">
        <is>
          <t>den</t>
        </is>
      </c>
      <c r="L21" s="23" t="inlineStr">
        <is>
          <t>yes</t>
        </is>
      </c>
      <c r="M21" s="23" t="n">
        <v>3</v>
      </c>
      <c r="N21" s="23" t="n">
        <v>0</v>
      </c>
      <c r="O21" s="23" t="n"/>
      <c r="P21" s="23" t="n"/>
      <c r="Q21" s="23" t="n">
        <v>9</v>
      </c>
      <c r="R21" s="23" t="inlineStr">
        <is>
          <t>the muster line (foot)|the siege road (riding)</t>
        </is>
      </c>
    </row>
    <row r="22">
      <c r="A22" s="23" t="inlineStr">
        <is>
          <t>map_h33_mercy</t>
        </is>
      </c>
      <c r="B22" s="23" t="inlineStr">
        <is>
          <t>Subterfuge</t>
        </is>
      </c>
      <c r="C22" s="23" t="n">
        <v>20</v>
      </c>
      <c r="D22" s="23" t="n">
        <v>14</v>
      </c>
      <c r="E22" s="23" t="inlineStr">
        <is>
          <t>seize</t>
        </is>
      </c>
      <c r="F22" s="23" t="n">
        <v>0</v>
      </c>
      <c r="G22" s="23" t="inlineStr">
        <is>
          <t>the movement gone underground, finishing what mercy interrupted</t>
        </is>
      </c>
      <c r="H22" s="23" t="inlineStr">
        <is>
          <t>ch_h33_mercy</t>
        </is>
      </c>
      <c r="I22" s="23" t="inlineStr">
        <is>
          <t>Terrain/encounter_spawns/scene built (Act3 fleshing-out pass). end_hierophant_mercy terminal: 'the movement goes underground and finishes what got interrupted -- A SECOND, LATER BATTLE... deliberately convergent iconography with end_perverse and the Idol' -- worth a visual callback to map_e32_perverse whenever this gets built past skeleton.</t>
        </is>
      </c>
      <c r="J22" s="23" t="inlineStr">
        <is>
          <t>no</t>
        </is>
      </c>
      <c r="K22" s="23" t="inlineStr">
        <is>
          <t>den</t>
        </is>
      </c>
      <c r="L22" s="23" t="inlineStr">
        <is>
          <t>yes</t>
        </is>
      </c>
      <c r="M22" s="23" t="n">
        <v>2</v>
      </c>
      <c r="N22" s="23" t="n">
        <v>0</v>
      </c>
      <c r="O22" s="23" t="n"/>
      <c r="P22" s="23" t="n"/>
      <c r="Q22" s="23" t="n">
        <v>8</v>
      </c>
      <c r="R22" s="23" t="inlineStr">
        <is>
          <t>the hidden approach (foot)|the open field (riding)</t>
        </is>
      </c>
    </row>
    <row r="23">
      <c r="A23" s="23" t="inlineStr">
        <is>
          <t>map_h34_war1</t>
        </is>
      </c>
      <c r="B23" s="23" t="inlineStr">
        <is>
          <t>The War: First Front</t>
        </is>
      </c>
      <c r="C23" s="23" t="n">
        <v>20</v>
      </c>
      <c r="D23" s="23" t="n">
        <v>14</v>
      </c>
      <c r="E23" s="23" t="inlineStr">
        <is>
          <t>survive</t>
        </is>
      </c>
      <c r="F23" s="23" t="n">
        <v>10</v>
      </c>
      <c r="G23" s="23" t="inlineStr">
        <is>
          <t>a region allied an act ago, now fractured -- attritional, not climactic</t>
        </is>
      </c>
      <c r="H23" s="23" t="inlineStr">
        <is>
          <t>ch_h34_war1</t>
        </is>
      </c>
      <c r="I23" s="23" t="inlineStr">
        <is>
          <t>Terrain/encounter_spawns/scene built (Act3 fleshing-out pass). end_hierophant_execution terminal: 'not one climactic fight -- several chapters of costly, attritional maps against regions and sects that were allied or neutral an act ago, now fractured.' First of 3 invented War chapters -- see ch_h34_war1's own chapter note on the count.</t>
        </is>
      </c>
      <c r="J23" s="23" t="inlineStr">
        <is>
          <t>no</t>
        </is>
      </c>
      <c r="K23" s="23" t="inlineStr">
        <is>
          <t>den</t>
        </is>
      </c>
      <c r="L23" s="23" t="inlineStr">
        <is>
          <t>yes</t>
        </is>
      </c>
      <c r="M23" s="23" t="n">
        <v>3</v>
      </c>
      <c r="N23" s="23" t="n">
        <v>0</v>
      </c>
      <c r="O23" s="23" t="n"/>
      <c r="P23" s="23" t="n"/>
      <c r="Q23" s="23" t="n">
        <v>8</v>
      </c>
      <c r="R23" s="23" t="inlineStr">
        <is>
          <t>the front line (foot)|the flank road (riding)</t>
        </is>
      </c>
    </row>
    <row r="24">
      <c r="A24" s="23" t="inlineStr">
        <is>
          <t>map_h34_war2</t>
        </is>
      </c>
      <c r="B24" s="23" t="inlineStr">
        <is>
          <t>The War: Second Front</t>
        </is>
      </c>
      <c r="C24" s="23" t="n">
        <v>20</v>
      </c>
      <c r="D24" s="23" t="n">
        <v>14</v>
      </c>
      <c r="E24" s="23" t="inlineStr">
        <is>
          <t>survive</t>
        </is>
      </c>
      <c r="F24" s="23" t="n">
        <v>10</v>
      </c>
      <c r="G24" s="23" t="inlineStr">
        <is>
          <t>another fractured region, the war widening</t>
        </is>
      </c>
      <c r="H24" s="23" t="inlineStr">
        <is>
          <t>ch_h34_war2</t>
        </is>
      </c>
      <c r="I24" s="23" t="inlineStr">
        <is>
          <t>Terrain/encounter_spawns/scene built (Act3 fleshing-out pass). Second of 3 invented War chapters -- see map_h34_war1's note.</t>
        </is>
      </c>
      <c r="J24" s="23" t="inlineStr">
        <is>
          <t>no</t>
        </is>
      </c>
      <c r="K24" s="23" t="inlineStr">
        <is>
          <t>den</t>
        </is>
      </c>
      <c r="L24" s="23" t="inlineStr">
        <is>
          <t>yes</t>
        </is>
      </c>
      <c r="M24" s="23" t="n">
        <v>3</v>
      </c>
      <c r="N24" s="23" t="n">
        <v>0</v>
      </c>
      <c r="O24" s="23" t="n"/>
      <c r="P24" s="23" t="n"/>
      <c r="Q24" s="23" t="n">
        <v>8</v>
      </c>
      <c r="R24" s="23" t="inlineStr">
        <is>
          <t>the front line (foot)|the flank road (riding)</t>
        </is>
      </c>
    </row>
    <row r="25">
      <c r="A25" s="23" t="inlineStr">
        <is>
          <t>map_h34_war3</t>
        </is>
      </c>
      <c r="B25" s="23" t="inlineStr">
        <is>
          <t>The War: Reckoning</t>
        </is>
      </c>
      <c r="C25" s="23" t="n">
        <v>22</v>
      </c>
      <c r="D25" s="23" t="n">
        <v>16</v>
      </c>
      <c r="E25" s="23" t="inlineStr">
        <is>
          <t>seize</t>
        </is>
      </c>
      <c r="F25" s="23" t="n">
        <v>0</v>
      </c>
      <c r="G25" s="23" t="inlineStr">
        <is>
          <t>the war's last field -- where it finally stops</t>
        </is>
      </c>
      <c r="H25" s="23" t="inlineStr">
        <is>
          <t>ch_h34_war3</t>
        </is>
      </c>
      <c r="I25" s="23" t="inlineStr">
        <is>
          <t>Terrain/encounter_spawns/scene built (Act3 fleshing-out pass). Third and closing chapter of the invented War arc -- see map_h34_war1's note. Switched to 'seize' from 'survive' for the closing chapter -- a war ends by taking the field, not just outlasting it.</t>
        </is>
      </c>
      <c r="J25" s="23" t="inlineStr">
        <is>
          <t>no</t>
        </is>
      </c>
      <c r="K25" s="23" t="inlineStr">
        <is>
          <t>den</t>
        </is>
      </c>
      <c r="L25" s="23" t="inlineStr">
        <is>
          <t>yes</t>
        </is>
      </c>
      <c r="M25" s="23" t="n">
        <v>3</v>
      </c>
      <c r="N25" s="23" t="n">
        <v>0</v>
      </c>
      <c r="O25" s="23" t="n"/>
      <c r="P25" s="23" t="n"/>
      <c r="Q25" s="23" t="n">
        <v>9</v>
      </c>
      <c r="R25" s="23" t="inlineStr">
        <is>
          <t>the last field (foot)|the high ground (riding)</t>
        </is>
      </c>
    </row>
    <row r="26">
      <c r="A26" s="23" t="inlineStr">
        <is>
          <t>map_p_macuil</t>
        </is>
      </c>
      <c r="B26" s="23" t="inlineStr">
        <is>
          <t>The North Wind Winds</t>
        </is>
      </c>
      <c r="C26" s="23" t="n">
        <v>16</v>
      </c>
      <c r="D26" s="23" t="n">
        <v>12</v>
      </c>
      <c r="E26" s="23" t="inlineStr">
        <is>
          <t>seize</t>
        </is>
      </c>
      <c r="F26" s="23" t="n">
        <v>0</v>
      </c>
      <c r="G26" s="23" t="inlineStr">
        <is>
          <t>the Stepped Coast: three raised marine terraces, each a former shoreline, with a ruined harbor stranded at the wrong altitude</t>
        </is>
      </c>
      <c r="H26" s="23" t="inlineStr">
        <is>
          <t>ch_p_macuil</t>
        </is>
      </c>
      <c r="I26" s="23" t="inlineStr">
        <is>
          <t>Regrounded (2026-09-23) once rgn_stepped_coast's own texture was found -- see ch_p_macuil's own note for the full connection. Terrain rebuilt from the region's own scar text instead of the earlier placeholder plain ground. objective_verb stays a placeholder default (seize) -- nothing in npcs.npc_macuil or the region's own row states an objective, only atmosphere and a doctrine match.</t>
        </is>
      </c>
      <c r="J26" s="23" t="inlineStr">
        <is>
          <t>no</t>
        </is>
      </c>
      <c r="K26" s="23" t="inlineStr">
        <is>
          <t>none</t>
        </is>
      </c>
      <c r="L26" s="23" t="inlineStr">
        <is>
          <t>no</t>
        </is>
      </c>
      <c r="M26" s="23" t="n">
        <v>2</v>
      </c>
      <c r="N26" s="23" t="n">
        <v>0</v>
      </c>
      <c r="O26" s="23" t="n"/>
      <c r="P26" s="23" t="n"/>
      <c r="Q26" s="23" t="n">
        <v>6</v>
      </c>
      <c r="R26" s="23" t="inlineStr">
        <is>
          <t>the lower terrace (foot)|the upper terraces (riding blocked)</t>
        </is>
      </c>
    </row>
    <row r="27">
      <c r="A27" s="23" t="inlineStr">
        <is>
          <t>map_p_indech</t>
        </is>
      </c>
      <c r="B27" s="23" t="inlineStr">
        <is>
          <t>His Lake</t>
        </is>
      </c>
      <c r="C27" s="23" t="n">
        <v>18</v>
      </c>
      <c r="D27" s="23" t="n">
        <v>14</v>
      </c>
      <c r="E27" s="23" t="inlineStr">
        <is>
          <t>defend</t>
        </is>
      </c>
      <c r="F27" s="23" t="n">
        <v>0</v>
      </c>
      <c r="G27" s="23" t="inlineStr">
        <is>
          <t>Indech's lake, a fisher cult's water</t>
        </is>
      </c>
      <c r="H27" s="23" t="inlineStr">
        <is>
          <t>ch_p_indech</t>
        </is>
      </c>
      <c r="I27" s="23" t="inlineStr">
        <is>
          <t>SKELETON ONLY, same caveat as map_p_macuil -- npcs.npc_indech gives 'his lake, fisher cult' and nothing else concrete. objective_verb is a placeholder default (seize), not derived from anything.</t>
        </is>
      </c>
      <c r="J27" s="23" t="inlineStr">
        <is>
          <t>no</t>
        </is>
      </c>
      <c r="K27" s="23" t="inlineStr">
        <is>
          <t>none</t>
        </is>
      </c>
      <c r="L27" s="23" t="inlineStr">
        <is>
          <t>no</t>
        </is>
      </c>
      <c r="M27" s="23" t="n">
        <v>2</v>
      </c>
      <c r="N27" s="23" t="n">
        <v>0</v>
      </c>
      <c r="O27" s="23" t="n"/>
      <c r="P27" s="23" t="n"/>
      <c r="Q27" s="23" t="n">
        <v>6</v>
      </c>
      <c r="R27" s="23" t="inlineStr">
        <is>
          <t>the shore (foot)|open water (flying only, placeholder)</t>
        </is>
      </c>
    </row>
    <row r="29">
      <c r="A29" s="25" t="inlineStr">
        <is>
          <t>Sizing band 20x25 to 30x20. Act 3 embeds reuse_in_act3 tilemaps into larger battlefields.</t>
        </is>
      </c>
    </row>
    <row r="30">
      <c r="A30" s="25" t="inlineStr">
        <is>
          <t>MAP LAWS. 1) Every reinforcement has an address: a visible den, ideally capturable, and it may never arrive inside the movement range of a unit who could not have seen it. 2) No single unit solves a map: min_solution_units &gt;= 2, enforced by non-atomic objectives (two seize points, a seal stripped before damage lands, three tiles held at once). 3) A set-piece boss is unreachable for N turns FOR A VISIBLE REASON. 4) Forced deploys are budgeted (&lt;= 1/3 of slots), named, and never a unit held under three chapters. Diversity is an optimized choice, never a constraint: &gt;= 2 approaches favouring different movement types.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Q13"/>
  <sheetViews>
    <sheetView workbookViewId="0">
      <selection activeCell="A1" sqref="A1"/>
    </sheetView>
  </sheetViews>
  <sheetFormatPr baseColWidth="8" defaultRowHeight="15"/>
  <cols>
    <col width="18" customWidth="1" style="18" min="1" max="1"/>
    <col width="18" customWidth="1" style="18" min="2" max="2"/>
    <col width="10" customWidth="1" style="18" min="3" max="3"/>
    <col width="12" customWidth="1" style="18" min="4" max="4"/>
    <col width="10" customWidth="1" style="18" min="5" max="5"/>
    <col width="6" customWidth="1" style="18" min="6" max="6"/>
    <col width="5" customWidth="1" style="18" min="7" max="7"/>
    <col width="5" customWidth="1" style="18" min="8" max="8"/>
    <col width="5" customWidth="1" style="18" min="9" max="9"/>
    <col width="5" customWidth="1" style="18" min="10" max="10"/>
    <col width="5" customWidth="1" style="18" min="11" max="11"/>
    <col width="5" customWidth="1" style="18" min="12" max="12"/>
    <col width="5" customWidth="1" style="18" min="13" max="13"/>
    <col width="5" customWidth="1" style="18" min="14" max="14"/>
    <col width="55" customWidth="1" style="18" min="15" max="15"/>
    <col width="14" customWidth="1" style="18" min="16" max="16"/>
  </cols>
  <sheetData>
    <row r="1">
      <c r="A1" s="26" t="inlineStr">
        <is>
          <t>enemy_id</t>
        </is>
      </c>
      <c r="B1" s="26" t="inlineStr">
        <is>
          <t>name</t>
        </is>
      </c>
      <c r="C1" s="26" t="inlineStr">
        <is>
          <t>weapon_art</t>
        </is>
      </c>
      <c r="D1" s="26" t="inlineStr">
        <is>
          <t>weapon_tier</t>
        </is>
      </c>
      <c r="E1" s="26" t="inlineStr">
        <is>
          <t>movement_type</t>
        </is>
      </c>
      <c r="F1" s="26" t="inlineStr">
        <is>
          <t>tier</t>
        </is>
      </c>
      <c r="G1" s="26" t="inlineStr">
        <is>
          <t>level</t>
        </is>
      </c>
      <c r="H1" s="26" t="inlineStr">
        <is>
          <t>hp</t>
        </is>
      </c>
      <c r="I1" s="26" t="inlineStr">
        <is>
          <t>str</t>
        </is>
      </c>
      <c r="J1" s="26" t="inlineStr">
        <is>
          <t>mag</t>
        </is>
      </c>
      <c r="K1" s="26" t="inlineStr">
        <is>
          <t>dex</t>
        </is>
      </c>
      <c r="L1" s="26" t="inlineStr">
        <is>
          <t>spd</t>
        </is>
      </c>
      <c r="M1" s="26" t="inlineStr">
        <is>
          <t>lck</t>
        </is>
      </c>
      <c r="N1" s="26" t="inlineStr">
        <is>
          <t>def</t>
        </is>
      </c>
      <c r="O1" s="26" t="inlineStr">
        <is>
          <t>res</t>
        </is>
      </c>
      <c r="P1" s="26" t="inlineStr">
        <is>
          <t>behavior</t>
        </is>
      </c>
      <c r="Q1" s="26" t="inlineStr">
        <is>
          <t>first_seen_map_id</t>
        </is>
      </c>
    </row>
    <row r="2">
      <c r="A2" s="17" t="inlineStr">
        <is>
          <t>ea_garrison</t>
        </is>
      </c>
      <c r="B2" s="17" t="inlineStr">
        <is>
          <t>Garrison soldier</t>
        </is>
      </c>
      <c r="C2" s="17" t="inlineStr">
        <is>
          <t>sword</t>
        </is>
      </c>
      <c r="D2" s="17" t="inlineStr">
        <is>
          <t>basic</t>
        </is>
      </c>
      <c r="E2" s="17" t="inlineStr">
        <is>
          <t>infantry</t>
        </is>
      </c>
      <c r="F2" s="17" t="inlineStr">
        <is>
          <t>commoner</t>
        </is>
      </c>
      <c r="G2" s="17" t="n">
        <v>1</v>
      </c>
      <c r="H2" s="17" t="n">
        <v>10</v>
      </c>
      <c r="I2" s="17" t="n">
        <v>2</v>
      </c>
      <c r="J2" s="17" t="n">
        <v>0</v>
      </c>
      <c r="K2" s="17" t="n">
        <v>2</v>
      </c>
      <c r="L2" s="17" t="n">
        <v>1</v>
      </c>
      <c r="M2" s="17" t="n">
        <v>1</v>
      </c>
      <c r="N2" s="17" t="n">
        <v>1</v>
      </c>
      <c r="O2" s="17" t="n">
        <v>0</v>
      </c>
      <c r="P2" s="17" t="inlineStr">
        <is>
          <t>Explicitly 'fatigued and not a threat' per map_f00's own design note -- deliberately below even commoner baseline, not a mistake.</t>
        </is>
      </c>
      <c r="Q2" s="17" t="inlineStr">
        <is>
          <t>map_f00</t>
        </is>
      </c>
    </row>
    <row r="3">
      <c r="A3" s="17" t="inlineStr">
        <is>
          <t>ea_conscript_levy</t>
        </is>
      </c>
      <c r="B3" s="17" t="inlineStr">
        <is>
          <t>Conscript levy</t>
        </is>
      </c>
      <c r="C3" s="17" t="inlineStr">
        <is>
          <t>lance</t>
        </is>
      </c>
      <c r="D3" s="17" t="inlineStr">
        <is>
          <t>basic</t>
        </is>
      </c>
      <c r="E3" s="17" t="inlineStr">
        <is>
          <t>infantry</t>
        </is>
      </c>
      <c r="F3" s="17" t="inlineStr">
        <is>
          <t>commoner</t>
        </is>
      </c>
      <c r="G3" s="17" t="n">
        <v>1</v>
      </c>
      <c r="H3" s="17" t="n">
        <v>16</v>
      </c>
      <c r="I3" s="17" t="n">
        <v>3</v>
      </c>
      <c r="J3" s="17" t="n">
        <v>1</v>
      </c>
      <c r="K3" s="17" t="n">
        <v>3</v>
      </c>
      <c r="L3" s="17" t="n">
        <v>3</v>
      </c>
      <c r="M3" s="17" t="n">
        <v>3</v>
      </c>
      <c r="N3" s="17" t="n">
        <v>2</v>
      </c>
      <c r="O3" s="17" t="n">
        <v>1</v>
      </c>
      <c r="P3" s="17" t="inlineStr">
        <is>
          <t>Flees below half HP, counted separately from other losses (map_d02's own design note: 'conscript levies flee below half HP, counted separately'). 'Green levies' elsewhere (map_a02) are the same archetype -- a preacher converts them there, not modeled here.</t>
        </is>
      </c>
      <c r="Q3" s="17" t="inlineStr">
        <is>
          <t>map_d02</t>
        </is>
      </c>
    </row>
    <row r="4">
      <c r="A4" s="17" t="inlineStr">
        <is>
          <t>ea_looter</t>
        </is>
      </c>
      <c r="B4" s="17" t="inlineStr">
        <is>
          <t>Looter</t>
        </is>
      </c>
      <c r="C4" s="17" t="inlineStr">
        <is>
          <t>axe</t>
        </is>
      </c>
      <c r="D4" s="17" t="inlineStr">
        <is>
          <t>basic</t>
        </is>
      </c>
      <c r="E4" s="17" t="inlineStr">
        <is>
          <t>infantry</t>
        </is>
      </c>
      <c r="F4" s="17" t="inlineStr">
        <is>
          <t>commoner</t>
        </is>
      </c>
      <c r="G4" s="17" t="n">
        <v>1</v>
      </c>
      <c r="H4" s="17" t="n">
        <v>16</v>
      </c>
      <c r="I4" s="17" t="n">
        <v>3</v>
      </c>
      <c r="J4" s="17" t="n">
        <v>1</v>
      </c>
      <c r="K4" s="17" t="n">
        <v>3</v>
      </c>
      <c r="L4" s="17" t="n">
        <v>3</v>
      </c>
      <c r="M4" s="17" t="n">
        <v>3</v>
      </c>
      <c r="N4" s="17" t="n">
        <v>2</v>
      </c>
      <c r="O4" s="17" t="n">
        <v>1</v>
      </c>
      <c r="P4" s="17" t="inlineStr">
        <is>
          <t>Kills unshielded civilians pursuing the medicine cart if it catches them (map_a01's own design note) -- a threat to the escort objective specifically, not necessarily to the player's units.</t>
        </is>
      </c>
      <c r="Q4" s="17" t="inlineStr">
        <is>
          <t>map_a01</t>
        </is>
      </c>
    </row>
    <row r="5">
      <c r="A5" s="17" t="inlineStr">
        <is>
          <t>ea_relic_hunter</t>
        </is>
      </c>
      <c r="B5" s="17" t="inlineStr">
        <is>
          <t>Relic hunter</t>
        </is>
      </c>
      <c r="C5" s="17" t="inlineStr">
        <is>
          <t>bow</t>
        </is>
      </c>
      <c r="D5" s="17" t="inlineStr">
        <is>
          <t>basic</t>
        </is>
      </c>
      <c r="E5" s="17" t="inlineStr">
        <is>
          <t>infantry</t>
        </is>
      </c>
      <c r="F5" s="17" t="inlineStr">
        <is>
          <t>trained</t>
        </is>
      </c>
      <c r="G5" s="17" t="n">
        <v>5</v>
      </c>
      <c r="H5" s="17" t="n">
        <v>20</v>
      </c>
      <c r="I5" s="17" t="n">
        <v>5</v>
      </c>
      <c r="J5" s="17" t="n">
        <v>3</v>
      </c>
      <c r="K5" s="17" t="n">
        <v>6</v>
      </c>
      <c r="L5" s="17" t="n">
        <v>6</v>
      </c>
      <c r="M5" s="17" t="n">
        <v>5</v>
      </c>
      <c r="N5" s="17" t="n">
        <v>4</v>
      </c>
      <c r="O5" s="17" t="n">
        <v>3</v>
      </c>
      <c r="P5" s="17" t="inlineStr">
        <is>
          <t>Reinforces every 3 turns forever (map_a03's own design note) -- an attritional/escape-pressure enemy, not meant to be fully eliminated.</t>
        </is>
      </c>
      <c r="Q5" s="17" t="inlineStr">
        <is>
          <t>map_a03</t>
        </is>
      </c>
    </row>
    <row r="6">
      <c r="A6" s="17" t="inlineStr">
        <is>
          <t>ea_privateer</t>
        </is>
      </c>
      <c r="B6" s="17" t="inlineStr">
        <is>
          <t>Privateer</t>
        </is>
      </c>
      <c r="C6" s="17" t="inlineStr">
        <is>
          <t>sword</t>
        </is>
      </c>
      <c r="D6" s="17" t="inlineStr">
        <is>
          <t>basic</t>
        </is>
      </c>
      <c r="E6" s="17" t="inlineStr">
        <is>
          <t>infantry</t>
        </is>
      </c>
      <c r="F6" s="17" t="inlineStr">
        <is>
          <t>trained</t>
        </is>
      </c>
      <c r="G6" s="17" t="n">
        <v>5</v>
      </c>
      <c r="H6" s="17" t="n">
        <v>20</v>
      </c>
      <c r="I6" s="17" t="n">
        <v>5</v>
      </c>
      <c r="J6" s="17" t="n">
        <v>3</v>
      </c>
      <c r="K6" s="17" t="n">
        <v>6</v>
      </c>
      <c r="L6" s="17" t="n">
        <v>6</v>
      </c>
      <c r="M6" s="17" t="n">
        <v>5</v>
      </c>
      <c r="N6" s="17" t="n">
        <v>4</v>
      </c>
      <c r="O6" s="17" t="n">
        <v>3</v>
      </c>
      <c r="P6" s="17" t="inlineStr">
        <is>
          <t>Boards from the map edges; the Assembly bought this fleet and its guards outright, 'paid for in Anbar' (map_d05's own design note). Grapple lines are the dens they reinforce from -- cut one and it stops producing them, same attritional shape as ea_relic_hunter's den on map_a03.</t>
        </is>
      </c>
      <c r="Q6" s="17" t="inlineStr">
        <is>
          <t>map_d05</t>
        </is>
      </c>
    </row>
    <row r="7">
      <c r="A7" s="17" t="inlineStr">
        <is>
          <t>ea_conquered_soldier</t>
        </is>
      </c>
      <c r="B7" s="17" t="inlineStr">
        <is>
          <t>Conquered soldier</t>
        </is>
      </c>
      <c r="C7" s="17" t="inlineStr">
        <is>
          <t>lance</t>
        </is>
      </c>
      <c r="D7" s="17" t="inlineStr">
        <is>
          <t>worn</t>
        </is>
      </c>
      <c r="E7" s="17" t="inlineStr">
        <is>
          <t>infantry</t>
        </is>
      </c>
      <c r="F7" s="17" t="inlineStr">
        <is>
          <t>paragon</t>
        </is>
      </c>
      <c r="G7" s="17" t="n">
        <v>40</v>
      </c>
      <c r="H7" s="17" t="n">
        <v>30</v>
      </c>
      <c r="I7" s="17" t="n">
        <v>6</v>
      </c>
      <c r="J7" s="17" t="n">
        <v>2</v>
      </c>
      <c r="K7" s="17" t="n">
        <v>8</v>
      </c>
      <c r="L7" s="17" t="n">
        <v>6</v>
      </c>
      <c r="M7" s="17" t="n">
        <v>5</v>
      </c>
      <c r="N7" s="17" t="n">
        <v>3</v>
      </c>
      <c r="O7" s="17" t="n">
        <v>2</v>
      </c>
      <c r="P7" s="17" t="inlineStr">
        <is>
          <t>Ur-Nashet's own standing army -- veteran, individually as capable as the conquering heroes on paper (hence tier/level display 'paragon'/40, matching the paragon classes' own 'lv30+' floor), but the city is being conquered as they fight: no armory, no resupply, whatever's left is worn-tier. Deliberately NOT run through the tier-baseline formula like the other archetypes here -- str/dex/spd/def/res are hand-set low (roughly trained-mook range) so the high level/tier display is flavor the fight itself contradicts, which is the entire point: skilled people, gutted by circumstance, very beatable. Not grounded in any existing canon.xlsx text -- map_f00 establishes the conquest and Sargath as king, but nothing there names Ur-Nashet's army or its condition; this whole archetype is new invented content per a direct request, not sourced.</t>
        </is>
      </c>
      <c r="Q7" s="17" t="inlineStr">
        <is>
          <t>map_f00</t>
        </is>
      </c>
    </row>
    <row r="8">
      <c r="A8" s="17" t="inlineStr">
        <is>
          <t>ea_hardened_veteran</t>
        </is>
      </c>
      <c r="B8" s="17" t="inlineStr">
        <is>
          <t>Hardened veteran</t>
        </is>
      </c>
      <c r="C8" s="17" t="inlineStr">
        <is>
          <t>sword</t>
        </is>
      </c>
      <c r="D8" s="17" t="inlineStr">
        <is>
          <t>mid</t>
        </is>
      </c>
      <c r="E8" s="17" t="inlineStr">
        <is>
          <t>infantry</t>
        </is>
      </c>
      <c r="F8" s="17" t="inlineStr">
        <is>
          <t>order</t>
        </is>
      </c>
      <c r="G8" s="17" t="n">
        <v>15</v>
      </c>
      <c r="H8" s="17" t="n">
        <v>30</v>
      </c>
      <c r="I8" s="17" t="n">
        <v>10</v>
      </c>
      <c r="J8" s="17" t="n">
        <v>5</v>
      </c>
      <c r="K8" s="17" t="n">
        <v>13</v>
      </c>
      <c r="L8" s="17" t="n">
        <v>12</v>
      </c>
      <c r="M8" s="17" t="n">
        <v>9</v>
      </c>
      <c r="N8" s="17" t="n">
        <v>9</v>
      </c>
      <c r="O8" s="17" t="n">
        <v>7</v>
      </c>
      <c r="P8" s="17" t="inlineStr">
        <is>
          <t>Generic sidequest-tier template, not tied to any specific map or written encounter -- reskin/rename once an actual optional-objective fight gets designed. Stats reuse the 'order' tier baseline (lv15+, same bracket classes.tier already uses for 'pair-certified' player classes) reconstructed from unit_base_stats' order-tier rows minus their growth-derived bonus -- an estimate, since the exact hidden baseline was never written down anywhere, only implicit in how unit_base_stats got generated. A step up from the trained-tier mooks (ea_relic_hunter, ea_privateer) via both stat bracket and a mid-tier weapon instead of basic.</t>
        </is>
      </c>
      <c r="Q8" s="17" t="n"/>
    </row>
    <row r="9">
      <c r="A9" s="17" t="inlineStr">
        <is>
          <t>ea_war_captain</t>
        </is>
      </c>
      <c r="B9" s="17" t="inlineStr">
        <is>
          <t>War captain</t>
        </is>
      </c>
      <c r="C9" s="17" t="inlineStr">
        <is>
          <t>lance</t>
        </is>
      </c>
      <c r="D9" s="17" t="inlineStr">
        <is>
          <t>high</t>
        </is>
      </c>
      <c r="E9" s="17" t="inlineStr">
        <is>
          <t>infantry</t>
        </is>
      </c>
      <c r="F9" s="17" t="inlineStr">
        <is>
          <t>order</t>
        </is>
      </c>
      <c r="G9" s="17" t="n">
        <v>20</v>
      </c>
      <c r="H9" s="17" t="n">
        <v>42</v>
      </c>
      <c r="I9" s="17" t="n">
        <v>12</v>
      </c>
      <c r="J9" s="17" t="n">
        <v>5</v>
      </c>
      <c r="K9" s="17" t="n">
        <v>15</v>
      </c>
      <c r="L9" s="17" t="n">
        <v>14</v>
      </c>
      <c r="M9" s="17" t="n">
        <v>10</v>
      </c>
      <c r="N9" s="17" t="n">
        <v>11</v>
      </c>
      <c r="O9" s="17" t="n">
        <v>8</v>
      </c>
      <c r="P9" s="17" t="inlineStr">
        <is>
          <t>Generic miniboss-tier template, not tied to any specific map -- reskin/rename per encounter. Same reconstructed order-tier baseline as ea_hardened_veteran, plus flat HP padding (+12) and a high-tier weapon instead of mid -- 'survives more than one exchange' is a deliberate design choice for named/boss-weight fights, a standard convention in this genre (this design's own stated FE lineage per PROJECT_HANDOFF.md), not sourced from canon.xlsx.</t>
        </is>
      </c>
      <c r="Q9" s="17" t="n"/>
    </row>
    <row r="10">
      <c r="A10" s="17" t="inlineStr">
        <is>
          <t>ea_warlord</t>
        </is>
      </c>
      <c r="B10" s="17" t="inlineStr">
        <is>
          <t>Warlord</t>
        </is>
      </c>
      <c r="C10" s="17" t="inlineStr">
        <is>
          <t>axe</t>
        </is>
      </c>
      <c r="D10" s="17" t="inlineStr">
        <is>
          <t>high</t>
        </is>
      </c>
      <c r="E10" s="17" t="inlineStr">
        <is>
          <t>infantry</t>
        </is>
      </c>
      <c r="F10" s="17" t="inlineStr">
        <is>
          <t>paragon</t>
        </is>
      </c>
      <c r="G10" s="17" t="n">
        <v>35</v>
      </c>
      <c r="H10" s="17" t="n">
        <v>70</v>
      </c>
      <c r="I10" s="17" t="n">
        <v>18</v>
      </c>
      <c r="J10" s="17" t="n">
        <v>8</v>
      </c>
      <c r="K10" s="17" t="n">
        <v>22</v>
      </c>
      <c r="L10" s="17" t="n">
        <v>20</v>
      </c>
      <c r="M10" s="17" t="n">
        <v>15</v>
      </c>
      <c r="N10" s="17" t="n">
        <v>16</v>
      </c>
      <c r="O10" s="17" t="n">
        <v>13</v>
      </c>
      <c r="P10" s="17" t="inlineStr">
        <is>
          <t>Generic boss-tier template, not tied to any specific map -- reskin/rename per chapter. Reconstructed 'paragon' tier baseline (lv30+, same bracket classes.tier uses for the deed-gated legendary player classes) continuing the same commoner-&gt;trained-&gt;order extrapolation as ea_hardened_veteran/ea_war_captain, plus heavier HP padding (+25) and a high-tier weapon. The toughest generic template in this tab. Unlike ea_conquered_soldier, this one's stats are NOT deliberately undercut -- a boss should actually be dangerous.</t>
        </is>
      </c>
      <c r="Q10" s="17" t="n"/>
    </row>
    <row r="11">
      <c r="A11" s="17" t="inlineStr">
        <is>
          <t>ea_preacher_boyan</t>
        </is>
      </c>
      <c r="B11" s="17" t="inlineStr">
        <is>
          <t>Boyan, the preacher</t>
        </is>
      </c>
      <c r="C11" s="17" t="inlineStr">
        <is>
          <t>faith</t>
        </is>
      </c>
      <c r="D11" s="17" t="inlineStr">
        <is>
          <t>basic</t>
        </is>
      </c>
      <c r="E11" s="17" t="inlineStr">
        <is>
          <t>infantry</t>
        </is>
      </c>
      <c r="F11" s="17" t="inlineStr">
        <is>
          <t>order</t>
        </is>
      </c>
      <c r="G11" s="17" t="n">
        <v>15</v>
      </c>
      <c r="H11" s="17" t="n">
        <v>24</v>
      </c>
      <c r="I11" s="17" t="n">
        <v>4</v>
      </c>
      <c r="J11" s="17" t="n">
        <v>8</v>
      </c>
      <c r="K11" s="17" t="n">
        <v>12</v>
      </c>
      <c r="L11" s="17" t="n">
        <v>11</v>
      </c>
      <c r="M11" s="17" t="n">
        <v>10</v>
      </c>
      <c r="N11" s="17" t="n">
        <v>6</v>
      </c>
      <c r="O11" s="17" t="n">
        <v>9</v>
      </c>
      <c r="P11" s="17" t="inlineStr">
        <is>
          <t>map_a02's own design note: 'preacher converts 1 townsfolk/turn; kill / answer / capture' -- three resolution paths, so he has to actually be fightable, not just flavor text. chapters.ch_a02.notes independently confirms capture matters: 'jailed preacher is an Act 2 hook.' Worth flagging: chapters.ch_a02.teaches_system says 'talk / capture / disperse' -- slightly different wording than the map's own 'kill / answer / capture' (talk~=answer, disperse~=kill, presumably, but that's a guess, not a resolution of the inconsistency). u_edda joins this same chapter auto ('village reciter') -- a reciter countering a preacher's rhetoric reads as a strong candidate for the 'answer' path, though nothing in units.u_edda's own row states that outright, so treat it as a suggested thread, not settled canon. Named/flavored as a Bogomil-adjacent heretical dualist preacher, leaning on naming_reference's ref_bogomils entry (status: 'UNFINISHED BUSINESS -- flagged as a candidate 5th/6th sect... never followed up') -- an interpretive choice, not an assignment naming_reference itself makes. Reskin of the ea_hardened_veteran sidequest-tier template (order/mid instead of a mook's trained/basic) with str/mag swapped the way Enmet/Ilat's prologue stats already are, and hp/def/res hand-tuned down from the template -- a rhetorician, not a soldier. Playtested against u_gunnar (bow, personal tier, one of ch_a02's own recruits, chosen because his class notes literally say 'Capture + Shove mercy kit' -- he's the intended actor for the 'capture' path) via a live Combat.gd data check: at mag 11 / weapon_tier mid, Boyan hit for 15 at 91% against Gunnar's 20 HP -- close to a two-round kill on a level-1 recruit, too sharp a spike for Act 1 Chapter 2. Turned down to mag 8 / weapon_tier basic (was 11/mid); re-verified at 9 damage / 91% hit, a real threat but not a near-instant loss. u_edda ('village reciter', the 'answer' candidate) turns out to have base_class_id cls_skald, art_primary 'none' -- she literally cannot fight, which reads as strong indirect confirmation that 'answer' is meant to be a non-combat resolution, not a combat one.</t>
        </is>
      </c>
      <c r="Q11" s="17" t="inlineStr">
        <is>
          <t>map_a02</t>
        </is>
      </c>
    </row>
    <row r="12">
      <c r="A12" s="17" t="inlineStr">
        <is>
          <t>ea_relic_hunter_captain</t>
        </is>
      </c>
      <c r="B12" s="17" t="inlineStr">
        <is>
          <t>Vitomir</t>
        </is>
      </c>
      <c r="C12" s="17" t="inlineStr">
        <is>
          <t>bow</t>
        </is>
      </c>
      <c r="D12" s="17" t="inlineStr">
        <is>
          <t>high</t>
        </is>
      </c>
      <c r="E12" s="17" t="inlineStr">
        <is>
          <t>infantry</t>
        </is>
      </c>
      <c r="F12" s="17" t="inlineStr">
        <is>
          <t>order</t>
        </is>
      </c>
      <c r="G12" s="17" t="n">
        <v>20</v>
      </c>
      <c r="H12" s="17" t="n">
        <v>38</v>
      </c>
      <c r="I12" s="17" t="n">
        <v>11</v>
      </c>
      <c r="J12" s="17" t="n">
        <v>3</v>
      </c>
      <c r="K12" s="17" t="n">
        <v>17</v>
      </c>
      <c r="L12" s="17" t="n">
        <v>15</v>
      </c>
      <c r="M12" s="17" t="n">
        <v>11</v>
      </c>
      <c r="N12" s="17" t="n">
        <v>9</v>
      </c>
      <c r="O12" s="17" t="n">
        <v>6</v>
      </c>
      <c r="P12" s="17" t="inlineStr">
        <is>
          <t>Commands the ea_relic_hunter squads that 'reinforce every 3 turns forever' per map_a03's own design note, and stands over the reliquary's 'take-or-give' objective. chapters.ch_a03.notes force- deploys u_torvald here specifically ('last of a plague-gutted order') -- tempting to tie the chapterhouse/reliquary to Torvald's own destroyed order, but nothing in canon.xlsx actually says that; flagging it as a possible thread worth writing toward, not asserting it as fact. u_anselm ('adrift monk; theology barometer') also joins this chapter, fitting a reliquary/sacred-relic objective generally, though again not explicitly tied to this fight by name anywhere. Name is invented, no naming_reference anchor -- a mercenary looter leader, not a Byzantine/Balkan historical figure, didn't force a fit. Reskin of the ea_war_captain miniboss-tier template, same bow art as his own relic hunters (differentiated by tier, not by art) -- one genuine step up from ea_preacher_boyan/a02, matching ch_a03 (chapter 3) being the harder escalation past ch_a02 (chapter 2).</t>
        </is>
      </c>
      <c r="Q12" s="17" t="inlineStr">
        <is>
          <t>map_a03</t>
        </is>
      </c>
    </row>
    <row r="13">
      <c r="A13" s="17" t="inlineStr">
        <is>
          <t>NOTE -- draft enemy archetypes, review before treating as canon. These are the only enemy TYPES actually named anywhere in canon.xlsx (scattered across maps.design_note for d02/a01/a02/a03, plus f00's own garrison) -- this tab just gives them mechanical stats, it does not invent new enemy types. Stats reuse unit_base_stats' exact tier baselines (commoner/trained) rather than new numbers, so a generic enemy naturally reads as somewhat weaker than an average player unit of the same tier -- player units get baseline + a growth_profile-derived bonus, these get baseline alone, with no growth_profile to add from since they're static mooks, not growing units. ea_garrison is the one deliberate exception: knocked further below even the commoner floor because 'fatigued and not a threat' is explicit design language, not just tier-average. weapon_art is stored directly (not derived via a base_class_id lookup) since 'commoner' tier classes have no art_primary in the classes tab -- same reason prologue_roster carries movement_type directly instead of relying solely on a class link. No per-chapter difficulty scaling exists yet (these are flat reference stats at each archetype's tier baseline level, not tuned per-map); that's a separate system for whenever real encounters get built. Drafted by a Claude Code session, 2026-09-16. ADDENDUM: ea_privateer added for map_d05, the only other place canon.xlsx names a distinct enemy identity (weapon_art/movement_type are invented -- 'boards' implies melee, nothing pins down which art or foot-vs-other -- everything else reuses the trained-tier baseline like ea_relic_hunter). map_b15's 'green levies' are the same call already made for map_a02 in ea_conscript_levy's own note above -- not a new archetype. map_d01/d03/x11 name no enemy identity at all in their design_note text, so nothing to ground a new row in there yet. Drafted by a Claude Code session, 2026-09-16. ADDENDUM 2: ea_conquered_soldier, ea_hardened_veteran, ea_war_captain, and ea_warlord added per a direct request for a prologue-soldier archetype plus generic sidequest/miniboss/boss power-tier templates. These break from the rest of this tab in two ways, both explained on each row's own behavior text: (1) they're the first rows using the new weapon_tier column (worn/mid/high instead of every prior row's implicit basic) and (2) three of the four (hardened_veteran/war_captain/warlord) have no first_seen_map_id -- they're reusable templates, not tied to any written encounter, unlike every other row in this tab so far. Drafted by a Claude Code session, 2026-09-16. ADDENDUM 3: ea_preacher_boyan (map_a02) and ea_relic_hunter_captain (map_a03) added -- the first named-individual reskins of the generic sidequest/miniboss templates, tied to a specific map the way the original 5 rows are (unlike ADDENDUM 2's three unassigned templates). Both rows' own behavior text spells out exactly what's grounded (the map/chapter design_notes, recruit rosters, force-deploys) versus invented (names, exact stat tuning, and one speculative narrative thread on the a03 row explicitly flagged as unconfirmed). Drafted by a Claude Code session, 2026-09-16.</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73"/>
  <sheetViews>
    <sheetView workbookViewId="0">
      <selection activeCell="A1" sqref="A1"/>
    </sheetView>
  </sheetViews>
  <sheetFormatPr baseColWidth="8" defaultRowHeight="15"/>
  <sheetData>
    <row r="1">
      <c r="A1" s="26" t="inlineStr">
        <is>
          <t>spawn_id</t>
        </is>
      </c>
      <c r="B1" s="26" t="inlineStr">
        <is>
          <t>map_id</t>
        </is>
      </c>
      <c r="C1" s="26" t="inlineStr">
        <is>
          <t>kind</t>
        </is>
      </c>
      <c r="D1" s="26" t="inlineStr">
        <is>
          <t>enemy_id</t>
        </is>
      </c>
      <c r="E1" s="26" t="inlineStr">
        <is>
          <t>row</t>
        </is>
      </c>
      <c r="F1" s="26" t="inlineStr">
        <is>
          <t>col</t>
        </is>
      </c>
      <c r="G1" s="26" t="inlineStr">
        <is>
          <t>spawn_interval</t>
        </is>
      </c>
      <c r="H1" s="26" t="inlineStr">
        <is>
          <t>max_waves</t>
        </is>
      </c>
      <c r="I1" s="26" t="inlineStr">
        <is>
          <t>wave_size</t>
        </is>
      </c>
      <c r="J1" s="26" t="inlineStr">
        <is>
          <t>notes</t>
        </is>
      </c>
    </row>
    <row r="2">
      <c r="A2" s="17" t="inlineStr">
        <is>
          <t>spn_a02_boyan</t>
        </is>
      </c>
      <c r="B2" s="17" t="inlineStr">
        <is>
          <t>map_a02</t>
        </is>
      </c>
      <c r="C2" s="17" t="inlineStr">
        <is>
          <t>boss</t>
        </is>
      </c>
      <c r="D2" s="17" t="inlineStr">
        <is>
          <t>ea_preacher_boyan</t>
        </is>
      </c>
      <c r="E2" s="17" t="n">
        <v>8</v>
      </c>
      <c r="F2" s="17" t="n">
        <v>8</v>
      </c>
      <c r="G2" s="17" t="n"/>
      <c r="H2" s="17" t="n"/>
      <c r="I2" s="17" t="n">
        <v>1</v>
      </c>
      <c r="J2" s="17" t="inlineStr">
        <is>
          <t>Stands on the defend-point tile (D) -- literally where the crowd/townsfolk are.</t>
        </is>
      </c>
    </row>
    <row r="3">
      <c r="A3" s="17" t="inlineStr">
        <is>
          <t>spn_a02_mook1</t>
        </is>
      </c>
      <c r="B3" s="17" t="inlineStr">
        <is>
          <t>map_a02</t>
        </is>
      </c>
      <c r="C3" s="17" t="inlineStr">
        <is>
          <t>mook</t>
        </is>
      </c>
      <c r="D3" s="17" t="inlineStr">
        <is>
          <t>ea_conscript_levy</t>
        </is>
      </c>
      <c r="E3" s="17" t="n">
        <v>7</v>
      </c>
      <c r="F3" s="17" t="n">
        <v>4</v>
      </c>
      <c r="G3" s="17" t="n"/>
      <c r="H3" s="17" t="n"/>
      <c r="I3" s="17" t="n">
        <v>1</v>
      </c>
      <c r="J3" s="17" t="inlineStr">
        <is>
          <t>Pre-placed on the narrow street, west side.</t>
        </is>
      </c>
    </row>
    <row r="4">
      <c r="A4" s="17" t="inlineStr">
        <is>
          <t>spn_a02_mook2</t>
        </is>
      </c>
      <c r="B4" s="17" t="inlineStr">
        <is>
          <t>map_a02</t>
        </is>
      </c>
      <c r="C4" s="17" t="inlineStr">
        <is>
          <t>mook</t>
        </is>
      </c>
      <c r="D4" s="17" t="inlineStr">
        <is>
          <t>ea_conscript_levy</t>
        </is>
      </c>
      <c r="E4" s="17" t="n">
        <v>7</v>
      </c>
      <c r="F4" s="17" t="n">
        <v>13</v>
      </c>
      <c r="G4" s="17" t="n"/>
      <c r="H4" s="17" t="n"/>
      <c r="I4" s="17" t="n">
        <v>1</v>
      </c>
      <c r="J4" s="17" t="inlineStr">
        <is>
          <t>Pre-placed on the narrow street, east side.</t>
        </is>
      </c>
    </row>
    <row r="5">
      <c r="A5" s="17" t="inlineStr">
        <is>
          <t>spn_a02_den</t>
        </is>
      </c>
      <c r="B5" s="17" t="inlineStr">
        <is>
          <t>map_a02</t>
        </is>
      </c>
      <c r="C5" s="17" t="inlineStr">
        <is>
          <t>den</t>
        </is>
      </c>
      <c r="D5" s="17" t="inlineStr">
        <is>
          <t>ea_conscript_levy</t>
        </is>
      </c>
      <c r="E5" s="17" t="n">
        <v>4</v>
      </c>
      <c r="F5" s="17" t="n">
        <v>16</v>
      </c>
      <c r="G5" s="17" t="n">
        <v>2</v>
      </c>
      <c r="H5" s="17" t="n">
        <v>4</v>
      </c>
      <c r="I5" s="17" t="n">
        <v>1</v>
      </c>
      <c r="J5" s="17" t="inlineStr">
        <is>
          <t>Wide-street edge. Interval/cap (every 2 turns, 4 waves max) are invented -- map_a02's own design_note doesn't state a cadence the way map_a03's does; chosen to fit turn_limit=8 without becoming unwinnable attrition.</t>
        </is>
      </c>
    </row>
    <row r="6">
      <c r="A6" s="17" t="inlineStr">
        <is>
          <t>spn_a03_boss</t>
        </is>
      </c>
      <c r="B6" s="17" t="inlineStr">
        <is>
          <t>map_a03</t>
        </is>
      </c>
      <c r="C6" s="17" t="inlineStr">
        <is>
          <t>boss</t>
        </is>
      </c>
      <c r="D6" s="17" t="inlineStr">
        <is>
          <t>ea_relic_hunter_captain</t>
        </is>
      </c>
      <c r="E6" s="17" t="n">
        <v>4</v>
      </c>
      <c r="F6" s="17" t="n">
        <v>8</v>
      </c>
      <c r="G6" s="17" t="n"/>
      <c r="H6" s="17" t="n"/>
      <c r="I6" s="17" t="n">
        <v>1</v>
      </c>
      <c r="J6" s="17" t="inlineStr">
        <is>
          <t>Guards the reliquary from one tile north.</t>
        </is>
      </c>
    </row>
    <row r="7">
      <c r="A7" s="17" t="inlineStr">
        <is>
          <t>spn_a03_mook1</t>
        </is>
      </c>
      <c r="B7" s="17" t="inlineStr">
        <is>
          <t>map_a03</t>
        </is>
      </c>
      <c r="C7" s="17" t="inlineStr">
        <is>
          <t>mook</t>
        </is>
      </c>
      <c r="D7" s="17" t="inlineStr">
        <is>
          <t>ea_relic_hunter</t>
        </is>
      </c>
      <c r="E7" s="17" t="n">
        <v>4</v>
      </c>
      <c r="F7" s="17" t="n">
        <v>6</v>
      </c>
      <c r="G7" s="17" t="n"/>
      <c r="H7" s="17" t="n"/>
      <c r="I7" s="17" t="n">
        <v>1</v>
      </c>
      <c r="J7" s="17" t="inlineStr">
        <is>
          <t>Pre-placed near the reliquary, west side.</t>
        </is>
      </c>
    </row>
    <row r="8">
      <c r="A8" s="17" t="inlineStr">
        <is>
          <t>spn_a03_mook2</t>
        </is>
      </c>
      <c r="B8" s="17" t="inlineStr">
        <is>
          <t>map_a03</t>
        </is>
      </c>
      <c r="C8" s="17" t="inlineStr">
        <is>
          <t>mook</t>
        </is>
      </c>
      <c r="D8" s="17" t="inlineStr">
        <is>
          <t>ea_relic_hunter</t>
        </is>
      </c>
      <c r="E8" s="17" t="n">
        <v>7</v>
      </c>
      <c r="F8" s="17" t="n">
        <v>10</v>
      </c>
      <c r="G8" s="17" t="n"/>
      <c r="H8" s="17" t="n"/>
      <c r="I8" s="17" t="n">
        <v>1</v>
      </c>
      <c r="J8" s="17" t="inlineStr">
        <is>
          <t>Pre-placed further into the open ward, south-east.</t>
        </is>
      </c>
    </row>
    <row r="9">
      <c r="A9" s="17" t="inlineStr">
        <is>
          <t>spn_a03_den</t>
        </is>
      </c>
      <c r="B9" s="17" t="inlineStr">
        <is>
          <t>map_a03</t>
        </is>
      </c>
      <c r="C9" s="17" t="inlineStr">
        <is>
          <t>den</t>
        </is>
      </c>
      <c r="D9" s="17" t="inlineStr">
        <is>
          <t>ea_relic_hunter</t>
        </is>
      </c>
      <c r="E9" s="17" t="n">
        <v>6</v>
      </c>
      <c r="F9" s="17" t="n">
        <v>7</v>
      </c>
      <c r="G9" s="17" t="n">
        <v>3</v>
      </c>
      <c r="H9" s="17" t="n"/>
      <c r="I9" s="17" t="n">
        <v>1</v>
      </c>
      <c r="J9" s="17" t="inlineStr">
        <is>
          <t>Adjacent to the reliquary. Interval/wave size taken directly from map_a03's own design_note: 'reinforces every 3 turns forever' -- max_waves is null (unlimited), the one den where that's literal text, not an invented cap.</t>
        </is>
      </c>
    </row>
    <row r="10">
      <c r="A10" s="17" t="inlineStr">
        <is>
          <t>spn_f00_garrison</t>
        </is>
      </c>
      <c r="B10" s="17" t="inlineStr">
        <is>
          <t>map_f00</t>
        </is>
      </c>
      <c r="C10" s="17" t="inlineStr">
        <is>
          <t>boss</t>
        </is>
      </c>
      <c r="D10" s="17" t="inlineStr">
        <is>
          <t>ea_garrison</t>
        </is>
      </c>
      <c r="E10" s="17" t="n">
        <v>11</v>
      </c>
      <c r="F10" s="17" t="n">
        <v>9</v>
      </c>
      <c r="G10" s="17" t="n"/>
      <c r="H10" s="17" t="n"/>
      <c r="I10" s="17" t="n">
        <v>1</v>
      </c>
      <c r="J10" s="17" t="inlineStr">
        <is>
          <t>Migrated from map_grid.gd's old hardcoded ENEMY_SPAWN_POS=Vector2i(9,11) (x=col, y=row) -- same tile, now data-driven like every other map's spawns, instead of a second parallel enemy-spawn code path.</t>
        </is>
      </c>
    </row>
    <row r="11">
      <c r="A11" s="17" t="inlineStr">
        <is>
          <t>spn_d01_mook1</t>
        </is>
      </c>
      <c r="B11" s="17" t="inlineStr">
        <is>
          <t>map_d01</t>
        </is>
      </c>
      <c r="C11" s="17" t="inlineStr">
        <is>
          <t>mook</t>
        </is>
      </c>
      <c r="D11" s="17" t="inlineStr">
        <is>
          <t>ea_looter</t>
        </is>
      </c>
      <c r="E11" s="17" t="n">
        <v>1</v>
      </c>
      <c r="F11" s="17" t="n">
        <v>10</v>
      </c>
      <c r="G11" s="17" t="n"/>
      <c r="H11" s="17" t="n"/>
      <c r="I11" s="17" t="n">
        <v>1</v>
      </c>
      <c r="J11" s="17" t="inlineStr">
        <is>
          <t>No named enemy identity in map_d01's design_note -- reusing an existing grounded archetype rather than inventing one. Docks-at-night opportunists fit ea_looter's own flavor.</t>
        </is>
      </c>
    </row>
    <row r="12">
      <c r="A12" s="17" t="inlineStr">
        <is>
          <t>spn_d01_mook2</t>
        </is>
      </c>
      <c r="B12" s="17" t="inlineStr">
        <is>
          <t>map_d01</t>
        </is>
      </c>
      <c r="C12" s="17" t="inlineStr">
        <is>
          <t>mook</t>
        </is>
      </c>
      <c r="D12" s="17" t="inlineStr">
        <is>
          <t>ea_looter</t>
        </is>
      </c>
      <c r="E12" s="17" t="n">
        <v>7</v>
      </c>
      <c r="F12" s="17" t="n">
        <v>3</v>
      </c>
      <c r="G12" s="17" t="n"/>
      <c r="H12" s="17" t="n"/>
      <c r="I12" s="17" t="n">
        <v>1</v>
      </c>
      <c r="J12" s="17" t="inlineStr">
        <is>
          <t>See spn_d01_mook1.</t>
        </is>
      </c>
    </row>
    <row r="13">
      <c r="A13" s="17" t="inlineStr">
        <is>
          <t>spn_d03_den</t>
        </is>
      </c>
      <c r="B13" s="17" t="inlineStr">
        <is>
          <t>map_d03</t>
        </is>
      </c>
      <c r="C13" s="17" t="inlineStr">
        <is>
          <t>den</t>
        </is>
      </c>
      <c r="D13" s="17" t="inlineStr">
        <is>
          <t>ea_looter</t>
        </is>
      </c>
      <c r="E13" s="17" t="n">
        <v>1</v>
      </c>
      <c r="F13" s="17" t="n">
        <v>18</v>
      </c>
      <c r="G13" s="17" t="n">
        <v>8</v>
      </c>
      <c r="H13" s="17" t="n">
        <v>1</v>
      </c>
      <c r="I13" s="17" t="n">
        <v>1</v>
      </c>
      <c r="J13" s="17" t="inlineStr">
        <is>
          <t>'turn 8 NE reinforcements' (map_d03's own design_note) -- a single wave (max_waves=1), not a recurring cadence, matching the note's singular framing. ea_looter reused for the same reason as d01 -- wagon/cargo threat, no named identity.</t>
        </is>
      </c>
    </row>
    <row r="14">
      <c r="A14" s="17" t="inlineStr">
        <is>
          <t>spn_d03_mook1</t>
        </is>
      </c>
      <c r="B14" s="17" t="inlineStr">
        <is>
          <t>map_d03</t>
        </is>
      </c>
      <c r="C14" s="17" t="inlineStr">
        <is>
          <t>mook</t>
        </is>
      </c>
      <c r="D14" s="17" t="inlineStr">
        <is>
          <t>ea_conscript_levy</t>
        </is>
      </c>
      <c r="E14" s="17" t="n">
        <v>9</v>
      </c>
      <c r="F14" s="17" t="n">
        <v>8</v>
      </c>
      <c r="G14" s="17" t="n"/>
      <c r="H14" s="17" t="n"/>
      <c r="I14" s="17" t="n">
        <v>1</v>
      </c>
      <c r="J14" s="17" t="inlineStr">
        <is>
          <t>No named identity; generic escort-threat mook.</t>
        </is>
      </c>
    </row>
    <row r="15">
      <c r="A15" s="17" t="inlineStr">
        <is>
          <t>spn_d03_mook2</t>
        </is>
      </c>
      <c r="B15" s="17" t="inlineStr">
        <is>
          <t>map_d03</t>
        </is>
      </c>
      <c r="C15" s="17" t="inlineStr">
        <is>
          <t>mook</t>
        </is>
      </c>
      <c r="D15" s="17" t="inlineStr">
        <is>
          <t>ea_conscript_levy</t>
        </is>
      </c>
      <c r="E15" s="17" t="n">
        <v>9</v>
      </c>
      <c r="F15" s="17" t="n">
        <v>12</v>
      </c>
      <c r="G15" s="17" t="n"/>
      <c r="H15" s="17" t="n"/>
      <c r="I15" s="17" t="n">
        <v>1</v>
      </c>
      <c r="J15" s="17" t="inlineStr">
        <is>
          <t>See spn_d03_mook1.</t>
        </is>
      </c>
    </row>
    <row r="16">
      <c r="A16" s="17" t="inlineStr">
        <is>
          <t>spn_x11_captain_west</t>
        </is>
      </c>
      <c r="B16" s="17" t="inlineStr">
        <is>
          <t>map_x11</t>
        </is>
      </c>
      <c r="C16" s="17" t="inlineStr">
        <is>
          <t>boss</t>
        </is>
      </c>
      <c r="D16" s="17" t="inlineStr">
        <is>
          <t>ea_war_captain</t>
        </is>
      </c>
      <c r="E16" s="17" t="n">
        <v>6</v>
      </c>
      <c r="F16" s="17" t="n">
        <v>4</v>
      </c>
      <c r="G16" s="17" t="n"/>
      <c r="H16" s="17" t="n"/>
      <c r="I16" s="17" t="n">
        <v>1</v>
      </c>
      <c r="J16" s="17" t="inlineStr">
        <is>
          <t>Reuses the generic miniboss template (not a new named character -- no identity is named in map_x11's design_note) at the west crossing, matching 'two simultaneous timed objectives at opposite edges.'</t>
        </is>
      </c>
    </row>
    <row r="17">
      <c r="A17" s="17" t="inlineStr">
        <is>
          <t>spn_x11_captain_east</t>
        </is>
      </c>
      <c r="B17" s="17" t="inlineStr">
        <is>
          <t>map_x11</t>
        </is>
      </c>
      <c r="C17" s="17" t="inlineStr">
        <is>
          <t>boss</t>
        </is>
      </c>
      <c r="D17" s="17" t="inlineStr">
        <is>
          <t>ea_war_captain</t>
        </is>
      </c>
      <c r="E17" s="17" t="n">
        <v>6</v>
      </c>
      <c r="F17" s="17" t="n">
        <v>19</v>
      </c>
      <c r="G17" s="17" t="n"/>
      <c r="H17" s="17" t="n"/>
      <c r="I17" s="17" t="n">
        <v>1</v>
      </c>
      <c r="J17" s="17" t="inlineStr">
        <is>
          <t>Same template, east crossing. Two instances of the same archetype, not two distinct characters -- consistent with nothing being named in the source text.</t>
        </is>
      </c>
    </row>
    <row r="18">
      <c r="A18" s="17" t="inlineStr">
        <is>
          <t>spn_x11_mook1</t>
        </is>
      </c>
      <c r="B18" s="17" t="inlineStr">
        <is>
          <t>map_x11</t>
        </is>
      </c>
      <c r="C18" s="17" t="inlineStr">
        <is>
          <t>mook</t>
        </is>
      </c>
      <c r="D18" s="17" t="inlineStr">
        <is>
          <t>ea_privateer</t>
        </is>
      </c>
      <c r="E18" s="17" t="n">
        <v>10</v>
      </c>
      <c r="F18" s="17" t="n">
        <v>6</v>
      </c>
      <c r="G18" s="17" t="n"/>
      <c r="H18" s="17" t="n"/>
      <c r="I18" s="17" t="n">
        <v>1</v>
      </c>
      <c r="J18" s="17" t="inlineStr">
        <is>
          <t>Act 2 escalation over Act 1's commoner-tier mooks -- ea_privateer (trained tier) reused.</t>
        </is>
      </c>
    </row>
    <row r="19">
      <c r="A19" s="17" t="inlineStr">
        <is>
          <t>spn_x11_mook2</t>
        </is>
      </c>
      <c r="B19" s="17" t="inlineStr">
        <is>
          <t>map_x11</t>
        </is>
      </c>
      <c r="C19" s="17" t="inlineStr">
        <is>
          <t>mook</t>
        </is>
      </c>
      <c r="D19" s="17" t="inlineStr">
        <is>
          <t>ea_privateer</t>
        </is>
      </c>
      <c r="E19" s="17" t="n">
        <v>10</v>
      </c>
      <c r="F19" s="17" t="n">
        <v>18</v>
      </c>
      <c r="G19" s="17" t="n"/>
      <c r="H19" s="17" t="n"/>
      <c r="I19" s="17" t="n">
        <v>1</v>
      </c>
      <c r="J19" s="17" t="inlineStr">
        <is>
          <t>See spn_x11_mook1.</t>
        </is>
      </c>
    </row>
    <row r="20">
      <c r="A20" s="17" t="inlineStr">
        <is>
          <t>spn_x11_den</t>
        </is>
      </c>
      <c r="B20" s="17" t="inlineStr">
        <is>
          <t>map_x11</t>
        </is>
      </c>
      <c r="C20" s="17" t="inlineStr">
        <is>
          <t>den</t>
        </is>
      </c>
      <c r="D20" s="17" t="inlineStr">
        <is>
          <t>ea_privateer</t>
        </is>
      </c>
      <c r="E20" s="17" t="n">
        <v>12</v>
      </c>
      <c r="F20" s="17" t="n">
        <v>12</v>
      </c>
      <c r="G20" s="17" t="n">
        <v>3</v>
      </c>
      <c r="H20" s="17" t="n">
        <v>3</v>
      </c>
      <c r="I20" s="17" t="n">
        <v>1</v>
      </c>
      <c r="J20" s="17" t="inlineStr">
        <is>
          <t>Interval/cap invented (map_x11's design_note gives no cadence, only reinforcement_source=den) -- 3 turns/3 waves chosen to fit turn_limit=9 without becoming unwinnable attrition, same reasoning as spn_a02_den.</t>
        </is>
      </c>
    </row>
    <row r="21">
      <c r="A21" s="17" t="inlineStr">
        <is>
          <t>spn_b15_mook1</t>
        </is>
      </c>
      <c r="B21" s="17" t="inlineStr">
        <is>
          <t>map_b15</t>
        </is>
      </c>
      <c r="C21" s="17" t="inlineStr">
        <is>
          <t>mook</t>
        </is>
      </c>
      <c r="D21" s="17" t="inlineStr">
        <is>
          <t>ea_conscript_levy</t>
        </is>
      </c>
      <c r="E21" s="17" t="n">
        <v>3</v>
      </c>
      <c r="F21" s="17" t="n">
        <v>5</v>
      </c>
      <c r="G21" s="17" t="n"/>
      <c r="H21" s="17" t="n"/>
      <c r="I21" s="17" t="n">
        <v>1</v>
      </c>
      <c r="J21" s="17" t="inlineStr">
        <is>
          <t>'preachers convert green levies' (map_b15's own design_note) -- green levies ARE ea_conscript_levy, per that archetype's own note. The preacher itself still isn't modeled as combat (same call made for map_a02).</t>
        </is>
      </c>
    </row>
    <row r="22">
      <c r="A22" s="17" t="inlineStr">
        <is>
          <t>spn_b15_mook2</t>
        </is>
      </c>
      <c r="B22" s="17" t="inlineStr">
        <is>
          <t>map_b15</t>
        </is>
      </c>
      <c r="C22" s="17" t="inlineStr">
        <is>
          <t>mook</t>
        </is>
      </c>
      <c r="D22" s="17" t="inlineStr">
        <is>
          <t>ea_conscript_levy</t>
        </is>
      </c>
      <c r="E22" s="17" t="n">
        <v>10</v>
      </c>
      <c r="F22" s="17" t="n">
        <v>13</v>
      </c>
      <c r="G22" s="17" t="n"/>
      <c r="H22" s="17" t="n"/>
      <c r="I22" s="17" t="n">
        <v>1</v>
      </c>
      <c r="J22" s="17" t="inlineStr">
        <is>
          <t>See spn_b15_mook1.</t>
        </is>
      </c>
    </row>
    <row r="23">
      <c r="A23" s="17" t="inlineStr">
        <is>
          <t>spn_d02_den</t>
        </is>
      </c>
      <c r="B23" s="17" t="inlineStr">
        <is>
          <t>map_d02</t>
        </is>
      </c>
      <c r="C23" s="17" t="inlineStr">
        <is>
          <t>den</t>
        </is>
      </c>
      <c r="D23" s="17" t="inlineStr">
        <is>
          <t>ea_conscript_levy</t>
        </is>
      </c>
      <c r="E23" s="17" t="n">
        <v>5</v>
      </c>
      <c r="F23" s="17" t="n">
        <v>15</v>
      </c>
      <c r="G23" s="17" t="n">
        <v>3</v>
      </c>
      <c r="H23" s="17" t="n">
        <v>3</v>
      </c>
      <c r="I23" s="17" t="n">
        <v>1</v>
      </c>
      <c r="J23" s="17" t="inlineStr">
        <is>
          <t>Interval/cap invented (map_d02's design_note describes flee-below-half-HP behavior, not a reinforcement cadence) -- 3 turns/3 waves, same default used elsewhere for an unstated den. ea_conscript_levy is ITS first_seen_map_id.</t>
        </is>
      </c>
    </row>
    <row r="24">
      <c r="A24" s="17" t="inlineStr">
        <is>
          <t>spn_d02_mook1</t>
        </is>
      </c>
      <c r="B24" s="17" t="inlineStr">
        <is>
          <t>map_d02</t>
        </is>
      </c>
      <c r="C24" s="17" t="inlineStr">
        <is>
          <t>mook</t>
        </is>
      </c>
      <c r="D24" s="17" t="inlineStr">
        <is>
          <t>ea_conscript_levy</t>
        </is>
      </c>
      <c r="E24" s="17" t="n">
        <v>2</v>
      </c>
      <c r="F24" s="17" t="n">
        <v>1</v>
      </c>
      <c r="G24" s="17" t="n"/>
      <c r="H24" s="17" t="n"/>
      <c r="I24" s="17" t="n">
        <v>1</v>
      </c>
      <c r="J24" s="17" t="inlineStr">
        <is>
          <t>See spn_d02_den.</t>
        </is>
      </c>
    </row>
    <row r="25">
      <c r="A25" s="17" t="inlineStr">
        <is>
          <t>spn_d02_mook2</t>
        </is>
      </c>
      <c r="B25" s="17" t="inlineStr">
        <is>
          <t>map_d02</t>
        </is>
      </c>
      <c r="C25" s="17" t="inlineStr">
        <is>
          <t>mook</t>
        </is>
      </c>
      <c r="D25" s="17" t="inlineStr">
        <is>
          <t>ea_conscript_levy</t>
        </is>
      </c>
      <c r="E25" s="17" t="n">
        <v>9</v>
      </c>
      <c r="F25" s="17" t="n">
        <v>14</v>
      </c>
      <c r="G25" s="17" t="n"/>
      <c r="H25" s="17" t="n"/>
      <c r="I25" s="17" t="n">
        <v>1</v>
      </c>
      <c r="J25" s="17" t="inlineStr">
        <is>
          <t>See spn_d02_den.</t>
        </is>
      </c>
    </row>
    <row r="26">
      <c r="A26" s="17" t="inlineStr">
        <is>
          <t>spn_a01_mook1</t>
        </is>
      </c>
      <c r="B26" s="17" t="inlineStr">
        <is>
          <t>map_a01</t>
        </is>
      </c>
      <c r="C26" s="17" t="inlineStr">
        <is>
          <t>mook</t>
        </is>
      </c>
      <c r="D26" s="17" t="inlineStr">
        <is>
          <t>ea_looter</t>
        </is>
      </c>
      <c r="E26" s="17" t="n">
        <v>5</v>
      </c>
      <c r="F26" s="17" t="n">
        <v>2</v>
      </c>
      <c r="G26" s="17" t="n"/>
      <c r="H26" s="17" t="n"/>
      <c r="I26" s="17" t="n">
        <v>1</v>
      </c>
      <c r="J26" s="17" t="inlineStr">
        <is>
          <t>ea_looter's own first_seen_map_id is map_a01 -- 'looters kill them if unshielded' is this map's own design_note. No den (reinforcement_source=none).</t>
        </is>
      </c>
    </row>
    <row r="27">
      <c r="A27" s="17" t="inlineStr">
        <is>
          <t>spn_a01_mook2</t>
        </is>
      </c>
      <c r="B27" s="17" t="inlineStr">
        <is>
          <t>map_a01</t>
        </is>
      </c>
      <c r="C27" s="17" t="inlineStr">
        <is>
          <t>mook</t>
        </is>
      </c>
      <c r="D27" s="17" t="inlineStr">
        <is>
          <t>ea_looter</t>
        </is>
      </c>
      <c r="E27" s="17" t="n">
        <v>5</v>
      </c>
      <c r="F27" s="17" t="n">
        <v>13</v>
      </c>
      <c r="G27" s="17" t="n"/>
      <c r="H27" s="17" t="n"/>
      <c r="I27" s="17" t="n">
        <v>1</v>
      </c>
      <c r="J27" s="17" t="inlineStr">
        <is>
          <t>See spn_a01_mook1.</t>
        </is>
      </c>
    </row>
    <row r="28">
      <c r="A28" s="17" t="inlineStr">
        <is>
          <t>spn_d05_den_port</t>
        </is>
      </c>
      <c r="B28" s="17" t="inlineStr">
        <is>
          <t>map_d05</t>
        </is>
      </c>
      <c r="C28" s="17" t="inlineStr">
        <is>
          <t>den</t>
        </is>
      </c>
      <c r="D28" s="17" t="inlineStr">
        <is>
          <t>ea_privateer</t>
        </is>
      </c>
      <c r="E28" s="17" t="n">
        <v>2</v>
      </c>
      <c r="F28" s="17" t="n">
        <v>1</v>
      </c>
      <c r="G28" s="17" t="n">
        <v>2</v>
      </c>
      <c r="H28" s="17" t="n"/>
      <c r="I28" s="17" t="n">
        <v>1</v>
      </c>
      <c r="J28" s="17" t="inlineStr">
        <is>
          <t>'Privateers board from the map edges... GRAPPLE LINES ARE THE DENS' (map_d05's own design_note) -- port-side den. Interval invented (2 turns), max_waves null (unlimited) since the note frames this as an ongoing voyage threat, not a one-off; turn_limit=10 caps total spawns naturally.</t>
        </is>
      </c>
    </row>
    <row r="29">
      <c r="A29" s="17" t="inlineStr">
        <is>
          <t>spn_d05_den_starboard</t>
        </is>
      </c>
      <c r="B29" s="17" t="inlineStr">
        <is>
          <t>map_d05</t>
        </is>
      </c>
      <c r="C29" s="17" t="inlineStr">
        <is>
          <t>den</t>
        </is>
      </c>
      <c r="D29" s="17" t="inlineStr">
        <is>
          <t>ea_privateer</t>
        </is>
      </c>
      <c r="E29" s="17" t="n">
        <v>2</v>
      </c>
      <c r="F29" s="17" t="n">
        <v>20</v>
      </c>
      <c r="G29" s="17" t="n">
        <v>2</v>
      </c>
      <c r="H29" s="17" t="n"/>
      <c r="I29" s="17" t="n">
        <v>1</v>
      </c>
      <c r="J29" s="17" t="inlineStr">
        <is>
          <t>Starboard-side den, same grounding as spn_d05_den_port -- 'the map edges' is plural.</t>
        </is>
      </c>
    </row>
    <row r="30">
      <c r="A30" s="17" t="inlineStr">
        <is>
          <t>spn_d05_mook1</t>
        </is>
      </c>
      <c r="B30" s="17" t="inlineStr">
        <is>
          <t>map_d05</t>
        </is>
      </c>
      <c r="C30" s="17" t="inlineStr">
        <is>
          <t>mook</t>
        </is>
      </c>
      <c r="D30" s="17" t="inlineStr">
        <is>
          <t>ea_privateer</t>
        </is>
      </c>
      <c r="E30" s="17" t="n">
        <v>3</v>
      </c>
      <c r="F30" s="17" t="n">
        <v>10</v>
      </c>
      <c r="G30" s="17" t="n"/>
      <c r="H30" s="17" t="n"/>
      <c r="I30" s="17" t="n">
        <v>1</v>
      </c>
      <c r="J30" s="17" t="inlineStr">
        <is>
          <t>Already-boarded privateers, same archetype as the dens produce.</t>
        </is>
      </c>
    </row>
    <row r="31">
      <c r="A31" s="17" t="inlineStr">
        <is>
          <t>spn_d05_mook2</t>
        </is>
      </c>
      <c r="B31" s="17" t="inlineStr">
        <is>
          <t>map_d05</t>
        </is>
      </c>
      <c r="C31" s="17" t="inlineStr">
        <is>
          <t>mook</t>
        </is>
      </c>
      <c r="D31" s="17" t="inlineStr">
        <is>
          <t>ea_privateer</t>
        </is>
      </c>
      <c r="E31" s="17" t="n">
        <v>8</v>
      </c>
      <c r="F31" s="17" t="n">
        <v>17</v>
      </c>
      <c r="G31" s="17" t="n"/>
      <c r="H31" s="17" t="n"/>
      <c r="I31" s="17" t="n">
        <v>1</v>
      </c>
      <c r="J31" s="17" t="inlineStr">
        <is>
          <t>See spn_d05_mook1.</t>
        </is>
      </c>
    </row>
    <row r="32">
      <c r="A32" s="17" t="inlineStr">
        <is>
          <t>spn_v21_den</t>
        </is>
      </c>
      <c r="B32" s="17" t="inlineStr">
        <is>
          <t>map_v21</t>
        </is>
      </c>
      <c r="C32" s="17" t="inlineStr">
        <is>
          <t>den</t>
        </is>
      </c>
      <c r="D32" s="17" t="inlineStr">
        <is>
          <t>ea_hardened_veteran</t>
        </is>
      </c>
      <c r="E32" s="17" t="n">
        <v>9</v>
      </c>
      <c r="F32" s="17" t="n">
        <v>15</v>
      </c>
      <c r="G32" s="17" t="n">
        <v>3</v>
      </c>
      <c r="H32" s="17" t="n">
        <v>3</v>
      </c>
      <c r="I32" s="17" t="n">
        <v>1</v>
      </c>
      <c r="J32" s="17" t="inlineStr">
        <is>
          <t>No named identity in ch_v21's own notes beyond 'complicit hands' generally -- ea_hardened_veteran (the generic sidequest-tier template) reused as the lord's household guard, an Act2 step up from Act1's commoner mooks.</t>
        </is>
      </c>
    </row>
    <row r="33">
      <c r="A33" s="17" t="inlineStr">
        <is>
          <t>spn_v21_mook1</t>
        </is>
      </c>
      <c r="B33" s="17" t="inlineStr">
        <is>
          <t>map_v21</t>
        </is>
      </c>
      <c r="C33" s="17" t="inlineStr">
        <is>
          <t>mook</t>
        </is>
      </c>
      <c r="D33" s="17" t="inlineStr">
        <is>
          <t>ea_hardened_veteran</t>
        </is>
      </c>
      <c r="E33" s="17" t="n">
        <v>9</v>
      </c>
      <c r="F33" s="17" t="n">
        <v>3</v>
      </c>
      <c r="G33" s="17" t="n"/>
      <c r="H33" s="17" t="n"/>
      <c r="I33" s="17" t="n">
        <v>1</v>
      </c>
      <c r="J33" s="17" t="inlineStr">
        <is>
          <t>See spn_v21_den.</t>
        </is>
      </c>
    </row>
    <row r="34">
      <c r="A34" s="17" t="inlineStr">
        <is>
          <t>spn_v21_mook2</t>
        </is>
      </c>
      <c r="B34" s="17" t="inlineStr">
        <is>
          <t>map_v21</t>
        </is>
      </c>
      <c r="C34" s="17" t="inlineStr">
        <is>
          <t>mook</t>
        </is>
      </c>
      <c r="D34" s="17" t="inlineStr">
        <is>
          <t>ea_hardened_veteran</t>
        </is>
      </c>
      <c r="E34" s="17" t="n">
        <v>1</v>
      </c>
      <c r="F34" s="17" t="n">
        <v>14</v>
      </c>
      <c r="G34" s="17" t="n"/>
      <c r="H34" s="17" t="n"/>
      <c r="I34" s="17" t="n">
        <v>1</v>
      </c>
      <c r="J34" s="17" t="inlineStr">
        <is>
          <t>See spn_v21_den.</t>
        </is>
      </c>
    </row>
    <row r="35">
      <c r="A35" s="17" t="inlineStr">
        <is>
          <t>spn_v22_den</t>
        </is>
      </c>
      <c r="B35" s="17" t="inlineStr">
        <is>
          <t>map_v22</t>
        </is>
      </c>
      <c r="C35" s="17" t="inlineStr">
        <is>
          <t>den</t>
        </is>
      </c>
      <c r="D35" s="17" t="inlineStr">
        <is>
          <t>ea_conscript_levy</t>
        </is>
      </c>
      <c r="E35" s="17" t="n">
        <v>1</v>
      </c>
      <c r="F35" s="17" t="n">
        <v>13</v>
      </c>
      <c r="G35" s="17" t="n">
        <v>3</v>
      </c>
      <c r="H35" s="17" t="n">
        <v>3</v>
      </c>
      <c r="I35" s="17" t="n">
        <v>1</v>
      </c>
      <c r="J35" s="17" t="inlineStr">
        <is>
          <t>No named identity; ea_conscript_levy reused as a mob disrupting the ritual, the same archetype used for crowd-adjacent threats at map_d02/map_b15.</t>
        </is>
      </c>
    </row>
    <row r="36">
      <c r="A36" s="17" t="inlineStr">
        <is>
          <t>spn_v22_mook1</t>
        </is>
      </c>
      <c r="B36" s="17" t="inlineStr">
        <is>
          <t>map_v22</t>
        </is>
      </c>
      <c r="C36" s="17" t="inlineStr">
        <is>
          <t>mook</t>
        </is>
      </c>
      <c r="D36" s="17" t="inlineStr">
        <is>
          <t>ea_conscript_levy</t>
        </is>
      </c>
      <c r="E36" s="17" t="n">
        <v>3</v>
      </c>
      <c r="F36" s="17" t="n">
        <v>4</v>
      </c>
      <c r="G36" s="17" t="n"/>
      <c r="H36" s="17" t="n"/>
      <c r="I36" s="17" t="n">
        <v>1</v>
      </c>
      <c r="J36" s="17" t="inlineStr">
        <is>
          <t>See spn_v22_den.</t>
        </is>
      </c>
    </row>
    <row r="37">
      <c r="A37" s="17" t="inlineStr">
        <is>
          <t>spn_v22_mook2</t>
        </is>
      </c>
      <c r="B37" s="17" t="inlineStr">
        <is>
          <t>map_v22</t>
        </is>
      </c>
      <c r="C37" s="17" t="inlineStr">
        <is>
          <t>mook</t>
        </is>
      </c>
      <c r="D37" s="17" t="inlineStr">
        <is>
          <t>ea_conscript_levy</t>
        </is>
      </c>
      <c r="E37" s="17" t="n">
        <v>9</v>
      </c>
      <c r="F37" s="17" t="n">
        <v>11</v>
      </c>
      <c r="G37" s="17" t="n"/>
      <c r="H37" s="17" t="n"/>
      <c r="I37" s="17" t="n">
        <v>1</v>
      </c>
      <c r="J37" s="17" t="inlineStr">
        <is>
          <t>See spn_v22_den.</t>
        </is>
      </c>
    </row>
    <row r="38">
      <c r="A38" s="17" t="inlineStr">
        <is>
          <t>spn_c21_den</t>
        </is>
      </c>
      <c r="B38" s="17" t="inlineStr">
        <is>
          <t>map_c21</t>
        </is>
      </c>
      <c r="C38" s="17" t="inlineStr">
        <is>
          <t>den</t>
        </is>
      </c>
      <c r="D38" s="17" t="inlineStr">
        <is>
          <t>ea_privateer</t>
        </is>
      </c>
      <c r="E38" s="17" t="n">
        <v>2</v>
      </c>
      <c r="F38" s="17" t="n">
        <v>15</v>
      </c>
      <c r="G38" s="17" t="n">
        <v>3</v>
      </c>
      <c r="H38" s="17" t="n">
        <v>3</v>
      </c>
      <c r="I38" s="17" t="n">
        <v>1</v>
      </c>
      <c r="J38" s="17" t="inlineStr">
        <is>
          <t>sect_court's own notes say 'ambushes at reunion' but name no one -- ea_privateer reused for hired-mercenary ambushers, the same archetype already established as paid muscle at map_d05.</t>
        </is>
      </c>
    </row>
    <row r="39">
      <c r="A39" s="17" t="inlineStr">
        <is>
          <t>spn_c21_mook1</t>
        </is>
      </c>
      <c r="B39" s="17" t="inlineStr">
        <is>
          <t>map_c21</t>
        </is>
      </c>
      <c r="C39" s="17" t="inlineStr">
        <is>
          <t>mook</t>
        </is>
      </c>
      <c r="D39" s="17" t="inlineStr">
        <is>
          <t>ea_privateer</t>
        </is>
      </c>
      <c r="E39" s="17" t="n">
        <v>2</v>
      </c>
      <c r="F39" s="17" t="n">
        <v>2</v>
      </c>
      <c r="G39" s="17" t="n"/>
      <c r="H39" s="17" t="n"/>
      <c r="I39" s="17" t="n">
        <v>1</v>
      </c>
      <c r="J39" s="17" t="inlineStr">
        <is>
          <t>See spn_c21_den.</t>
        </is>
      </c>
    </row>
    <row r="40">
      <c r="A40" s="17" t="inlineStr">
        <is>
          <t>spn_c21_mook2</t>
        </is>
      </c>
      <c r="B40" s="17" t="inlineStr">
        <is>
          <t>map_c21</t>
        </is>
      </c>
      <c r="C40" s="17" t="inlineStr">
        <is>
          <t>mook</t>
        </is>
      </c>
      <c r="D40" s="17" t="inlineStr">
        <is>
          <t>ea_privateer</t>
        </is>
      </c>
      <c r="E40" s="17" t="n">
        <v>9</v>
      </c>
      <c r="F40" s="17" t="n">
        <v>14</v>
      </c>
      <c r="G40" s="17" t="n"/>
      <c r="H40" s="17" t="n"/>
      <c r="I40" s="17" t="n">
        <v>1</v>
      </c>
      <c r="J40" s="17" t="inlineStr">
        <is>
          <t>See spn_c21_den.</t>
        </is>
      </c>
    </row>
    <row r="41">
      <c r="A41" s="17" t="inlineStr">
        <is>
          <t>spn_m21_den</t>
        </is>
      </c>
      <c r="B41" s="17" t="inlineStr">
        <is>
          <t>map_m21</t>
        </is>
      </c>
      <c r="C41" s="17" t="inlineStr">
        <is>
          <t>den</t>
        </is>
      </c>
      <c r="D41" s="17" t="inlineStr">
        <is>
          <t>ea_conscript_levy</t>
        </is>
      </c>
      <c r="E41" s="17" t="n">
        <v>12</v>
      </c>
      <c r="F41" s="17" t="n">
        <v>9</v>
      </c>
      <c r="G41" s="17" t="n">
        <v>3</v>
      </c>
      <c r="H41" s="17" t="n">
        <v>3</v>
      </c>
      <c r="I41" s="17" t="n">
        <v>1</v>
      </c>
      <c r="J41" s="17" t="inlineStr">
        <is>
          <t>sect_march's own notes: 'Prophecy NPCs convert green levies' -- ea_conscript_levy is that archetype, reused directly.</t>
        </is>
      </c>
    </row>
    <row r="42">
      <c r="A42" s="17" t="inlineStr">
        <is>
          <t>spn_m21_mook1</t>
        </is>
      </c>
      <c r="B42" s="17" t="inlineStr">
        <is>
          <t>map_m21</t>
        </is>
      </c>
      <c r="C42" s="17" t="inlineStr">
        <is>
          <t>mook</t>
        </is>
      </c>
      <c r="D42" s="17" t="inlineStr">
        <is>
          <t>ea_conscript_levy</t>
        </is>
      </c>
      <c r="E42" s="17" t="n">
        <v>5</v>
      </c>
      <c r="F42" s="17" t="n">
        <v>9</v>
      </c>
      <c r="G42" s="17" t="n"/>
      <c r="H42" s="17" t="n"/>
      <c r="I42" s="17" t="n">
        <v>1</v>
      </c>
      <c r="J42" s="17" t="inlineStr">
        <is>
          <t>See spn_m21_den.</t>
        </is>
      </c>
    </row>
    <row r="43">
      <c r="A43" s="17" t="inlineStr">
        <is>
          <t>spn_m21_mook2</t>
        </is>
      </c>
      <c r="B43" s="17" t="inlineStr">
        <is>
          <t>map_m21</t>
        </is>
      </c>
      <c r="C43" s="17" t="inlineStr">
        <is>
          <t>mook</t>
        </is>
      </c>
      <c r="D43" s="17" t="inlineStr">
        <is>
          <t>ea_conscript_levy</t>
        </is>
      </c>
      <c r="E43" s="17" t="n">
        <v>9</v>
      </c>
      <c r="F43" s="17" t="n">
        <v>10</v>
      </c>
      <c r="G43" s="17" t="n"/>
      <c r="H43" s="17" t="n"/>
      <c r="I43" s="17" t="n">
        <v>1</v>
      </c>
      <c r="J43" s="17" t="inlineStr">
        <is>
          <t>See spn_m21_den.</t>
        </is>
      </c>
    </row>
    <row r="44">
      <c r="A44" s="17" t="inlineStr">
        <is>
          <t>spn_m22_den</t>
        </is>
      </c>
      <c r="B44" s="17" t="inlineStr">
        <is>
          <t>map_m22</t>
        </is>
      </c>
      <c r="C44" s="17" t="inlineStr">
        <is>
          <t>den</t>
        </is>
      </c>
      <c r="D44" s="17" t="inlineStr">
        <is>
          <t>ea_hardened_veteran</t>
        </is>
      </c>
      <c r="E44" s="17" t="n">
        <v>9</v>
      </c>
      <c r="F44" s="17" t="n">
        <v>13</v>
      </c>
      <c r="G44" s="17" t="n">
        <v>3</v>
      </c>
      <c r="H44" s="17" t="n">
        <v>3</v>
      </c>
      <c r="I44" s="17" t="n">
        <v>1</v>
      </c>
      <c r="J44" s="17" t="inlineStr">
        <is>
          <t>sect_march's notes put 'the prophets and the crown's clerks in the same archive for opposite reasons' -- ea_hardened_veteran reused as the crown's own guards, distinct from the levies at map_m21.</t>
        </is>
      </c>
    </row>
    <row r="45">
      <c r="A45" s="17" t="inlineStr">
        <is>
          <t>spn_m22_mook1</t>
        </is>
      </c>
      <c r="B45" s="17" t="inlineStr">
        <is>
          <t>map_m22</t>
        </is>
      </c>
      <c r="C45" s="17" t="inlineStr">
        <is>
          <t>mook</t>
        </is>
      </c>
      <c r="D45" s="17" t="inlineStr">
        <is>
          <t>ea_hardened_veteran</t>
        </is>
      </c>
      <c r="E45" s="17" t="n">
        <v>2</v>
      </c>
      <c r="F45" s="17" t="n">
        <v>1</v>
      </c>
      <c r="G45" s="17" t="n"/>
      <c r="H45" s="17" t="n"/>
      <c r="I45" s="17" t="n">
        <v>1</v>
      </c>
      <c r="J45" s="17" t="inlineStr">
        <is>
          <t>See spn_m22_den.</t>
        </is>
      </c>
    </row>
    <row r="46">
      <c r="A46" s="17" t="inlineStr">
        <is>
          <t>spn_m22_mook2</t>
        </is>
      </c>
      <c r="B46" s="17" t="inlineStr">
        <is>
          <t>map_m22</t>
        </is>
      </c>
      <c r="C46" s="17" t="inlineStr">
        <is>
          <t>mook</t>
        </is>
      </c>
      <c r="D46" s="17" t="inlineStr">
        <is>
          <t>ea_hardened_veteran</t>
        </is>
      </c>
      <c r="E46" s="17" t="n">
        <v>9</v>
      </c>
      <c r="F46" s="17" t="n">
        <v>1</v>
      </c>
      <c r="G46" s="17" t="n"/>
      <c r="H46" s="17" t="n"/>
      <c r="I46" s="17" t="n">
        <v>1</v>
      </c>
      <c r="J46" s="17" t="inlineStr">
        <is>
          <t>See spn_m22_den.</t>
        </is>
      </c>
    </row>
    <row r="47">
      <c r="A47" s="17" t="inlineStr">
        <is>
          <t>spn_r16_mook1</t>
        </is>
      </c>
      <c r="B47" s="17" t="inlineStr">
        <is>
          <t>map_r16</t>
        </is>
      </c>
      <c r="C47" s="17" t="inlineStr">
        <is>
          <t>mook</t>
        </is>
      </c>
      <c r="D47" s="17" t="inlineStr">
        <is>
          <t>ea_looter</t>
        </is>
      </c>
      <c r="E47" s="17" t="n">
        <v>3</v>
      </c>
      <c r="F47" s="17" t="n">
        <v>5</v>
      </c>
      <c r="G47" s="17" t="n"/>
      <c r="H47" s="17" t="n"/>
      <c r="I47" s="17" t="n">
        <v>1</v>
      </c>
      <c r="J47" s="17" t="inlineStr">
        <is>
          <t>No named identity; reinforcement_source=none on this map itself, so mooks only, no den -- ea_looter reused for opportunists working the toll road.</t>
        </is>
      </c>
    </row>
    <row r="48">
      <c r="A48" s="17" t="inlineStr">
        <is>
          <t>spn_r16_mook2</t>
        </is>
      </c>
      <c r="B48" s="17" t="inlineStr">
        <is>
          <t>map_r16</t>
        </is>
      </c>
      <c r="C48" s="17" t="inlineStr">
        <is>
          <t>mook</t>
        </is>
      </c>
      <c r="D48" s="17" t="inlineStr">
        <is>
          <t>ea_looter</t>
        </is>
      </c>
      <c r="E48" s="17" t="n">
        <v>10</v>
      </c>
      <c r="F48" s="17" t="n">
        <v>15</v>
      </c>
      <c r="G48" s="17" t="n"/>
      <c r="H48" s="17" t="n"/>
      <c r="I48" s="17" t="n">
        <v>1</v>
      </c>
      <c r="J48" s="17" t="inlineStr">
        <is>
          <t>See spn_r16_mook1.</t>
        </is>
      </c>
    </row>
    <row r="49">
      <c r="A49" s="17" t="inlineStr">
        <is>
          <t>spn_e31_den</t>
        </is>
      </c>
      <c r="B49" s="17" t="inlineStr">
        <is>
          <t>map_e31</t>
        </is>
      </c>
      <c r="C49" s="17" t="inlineStr">
        <is>
          <t>den</t>
        </is>
      </c>
      <c r="D49" s="17" t="inlineStr">
        <is>
          <t>ea_war_captain</t>
        </is>
      </c>
      <c r="E49" s="17" t="n">
        <v>2</v>
      </c>
      <c r="F49" s="17" t="n">
        <v>20</v>
      </c>
      <c r="G49" s="17" t="n">
        <v>3</v>
      </c>
      <c r="H49" s="17" t="n">
        <v>3</v>
      </c>
      <c r="I49" s="17" t="n">
        <v>1</v>
      </c>
      <c r="J49" s="17" t="inlineStr">
        <is>
          <t>No named identity; ea_war_captain (generic miniboss template) reused at Act3 scale, a step up from the Act1/2 mooks used elsewhere for this sect.</t>
        </is>
      </c>
    </row>
    <row r="50">
      <c r="A50" s="17" t="inlineStr">
        <is>
          <t>spn_e31_mook1</t>
        </is>
      </c>
      <c r="B50" s="17" t="inlineStr">
        <is>
          <t>map_e31</t>
        </is>
      </c>
      <c r="C50" s="17" t="inlineStr">
        <is>
          <t>mook</t>
        </is>
      </c>
      <c r="D50" s="17" t="inlineStr">
        <is>
          <t>ea_war_captain</t>
        </is>
      </c>
      <c r="E50" s="17" t="n">
        <v>8</v>
      </c>
      <c r="F50" s="17" t="n">
        <v>5</v>
      </c>
      <c r="G50" s="17" t="n"/>
      <c r="H50" s="17" t="n"/>
      <c r="I50" s="17" t="n">
        <v>1</v>
      </c>
      <c r="J50" s="17" t="inlineStr">
        <is>
          <t>See spn_e31_den.</t>
        </is>
      </c>
    </row>
    <row r="51">
      <c r="A51" s="17" t="inlineStr">
        <is>
          <t>spn_e31_mook2</t>
        </is>
      </c>
      <c r="B51" s="17" t="inlineStr">
        <is>
          <t>map_e31</t>
        </is>
      </c>
      <c r="C51" s="17" t="inlineStr">
        <is>
          <t>mook</t>
        </is>
      </c>
      <c r="D51" s="17" t="inlineStr">
        <is>
          <t>ea_war_captain</t>
        </is>
      </c>
      <c r="E51" s="17" t="n">
        <v>13</v>
      </c>
      <c r="F51" s="17" t="n">
        <v>15</v>
      </c>
      <c r="G51" s="17" t="n"/>
      <c r="H51" s="17" t="n"/>
      <c r="I51" s="17" t="n">
        <v>1</v>
      </c>
      <c r="J51" s="17" t="inlineStr">
        <is>
          <t>See spn_e31_den.</t>
        </is>
      </c>
    </row>
    <row r="52">
      <c r="A52" s="17" t="inlineStr">
        <is>
          <t>spn_e32s_mook1</t>
        </is>
      </c>
      <c r="B52" s="17" t="inlineStr">
        <is>
          <t>map_e32_sanctified</t>
        </is>
      </c>
      <c r="C52" s="17" t="inlineStr">
        <is>
          <t>mook</t>
        </is>
      </c>
      <c r="D52" s="17" t="inlineStr">
        <is>
          <t>ea_war_captain</t>
        </is>
      </c>
      <c r="E52" s="17" t="n">
        <v>3</v>
      </c>
      <c r="F52" s="17" t="n">
        <v>5</v>
      </c>
      <c r="G52" s="17" t="n"/>
      <c r="H52" s="17" t="n"/>
      <c r="I52" s="17" t="n">
        <v>1</v>
      </c>
      <c r="J52" s="17" t="inlineStr">
        <is>
          <t>end_sanctified: 'NOT a boss fight against him... ranks and legions made literal and playable for the first time.' ea_war_captain reused three times to read as a legion, not a single named threat -- no real Lesser Key roster is invented here, that's separate future content.</t>
        </is>
      </c>
    </row>
    <row r="53">
      <c r="A53" s="17" t="inlineStr">
        <is>
          <t>spn_e32s_mook2</t>
        </is>
      </c>
      <c r="B53" s="17" t="inlineStr">
        <is>
          <t>map_e32_sanctified</t>
        </is>
      </c>
      <c r="C53" s="17" t="inlineStr">
        <is>
          <t>mook</t>
        </is>
      </c>
      <c r="D53" s="17" t="inlineStr">
        <is>
          <t>ea_war_captain</t>
        </is>
      </c>
      <c r="E53" s="17" t="n">
        <v>3</v>
      </c>
      <c r="F53" s="17" t="n">
        <v>20</v>
      </c>
      <c r="G53" s="17" t="n"/>
      <c r="H53" s="17" t="n"/>
      <c r="I53" s="17" t="n">
        <v>1</v>
      </c>
      <c r="J53" s="17" t="inlineStr">
        <is>
          <t>See spn_e32s_mook1.</t>
        </is>
      </c>
    </row>
    <row r="54">
      <c r="A54" s="17" t="inlineStr">
        <is>
          <t>spn_e32s_mook3</t>
        </is>
      </c>
      <c r="B54" s="17" t="inlineStr">
        <is>
          <t>map_e32_sanctified</t>
        </is>
      </c>
      <c r="C54" s="17" t="inlineStr">
        <is>
          <t>mook</t>
        </is>
      </c>
      <c r="D54" s="17" t="inlineStr">
        <is>
          <t>ea_war_captain</t>
        </is>
      </c>
      <c r="E54" s="17" t="n">
        <v>14</v>
      </c>
      <c r="F54" s="17" t="n">
        <v>13</v>
      </c>
      <c r="G54" s="17" t="n"/>
      <c r="H54" s="17" t="n"/>
      <c r="I54" s="17" t="n">
        <v>1</v>
      </c>
      <c r="J54" s="17" t="inlineStr">
        <is>
          <t>See spn_e32s_mook1.</t>
        </is>
      </c>
    </row>
    <row r="55">
      <c r="A55" s="17" t="inlineStr">
        <is>
          <t>spn_e32s_den</t>
        </is>
      </c>
      <c r="B55" s="17" t="inlineStr">
        <is>
          <t>map_e32_sanctified</t>
        </is>
      </c>
      <c r="C55" s="17" t="inlineStr">
        <is>
          <t>den</t>
        </is>
      </c>
      <c r="D55" s="17" t="inlineStr">
        <is>
          <t>ea_war_captain</t>
        </is>
      </c>
      <c r="E55" s="17" t="n">
        <v>1</v>
      </c>
      <c r="F55" s="17" t="n">
        <v>13</v>
      </c>
      <c r="G55" s="17" t="n">
        <v>3</v>
      </c>
      <c r="H55" s="17" t="n">
        <v>3</v>
      </c>
      <c r="I55" s="17" t="n">
        <v>1</v>
      </c>
      <c r="J55" s="17" t="inlineStr">
        <is>
          <t>See spn_e32s_mook1.</t>
        </is>
      </c>
    </row>
    <row r="56">
      <c r="A56" s="17" t="inlineStr">
        <is>
          <t>spn_e32p_boss</t>
        </is>
      </c>
      <c r="B56" s="17" t="inlineStr">
        <is>
          <t>map_e32_perverse</t>
        </is>
      </c>
      <c r="C56" s="17" t="inlineStr">
        <is>
          <t>boss</t>
        </is>
      </c>
      <c r="D56" s="17" t="inlineStr">
        <is>
          <t>ea_warlord</t>
        </is>
      </c>
      <c r="E56" s="17" t="n">
        <v>6</v>
      </c>
      <c r="F56" s="17" t="n">
        <v>11</v>
      </c>
      <c r="G56" s="17" t="n"/>
      <c r="H56" s="17" t="n"/>
      <c r="I56" s="17" t="n">
        <v>1</v>
      </c>
      <c r="J56" s="17" t="inlineStr">
        <is>
          <t>end_perverse: 'the party fights HIM directly.' ea_warlord (the generic boss-tier template) is the closest existing fit -- no unique stat line invented for him specifically, that's real future content. No den, matching this map's own design_note ('reads as a direct, personal fight... not an attritional one').</t>
        </is>
      </c>
    </row>
    <row r="57">
      <c r="A57" s="17" t="inlineStr">
        <is>
          <t>spn_h31_den</t>
        </is>
      </c>
      <c r="B57" s="17" t="inlineStr">
        <is>
          <t>map_h31</t>
        </is>
      </c>
      <c r="C57" s="17" t="inlineStr">
        <is>
          <t>den</t>
        </is>
      </c>
      <c r="D57" s="17" t="inlineStr">
        <is>
          <t>ea_war_captain</t>
        </is>
      </c>
      <c r="E57" s="17" t="n">
        <v>1</v>
      </c>
      <c r="F57" s="17" t="n">
        <v>20</v>
      </c>
      <c r="G57" s="17" t="n">
        <v>3</v>
      </c>
      <c r="H57" s="17" t="n">
        <v>3</v>
      </c>
      <c r="I57" s="17" t="n">
        <v>1</v>
      </c>
      <c r="J57" s="17" t="inlineStr">
        <is>
          <t>sect_id TBD on this whole route (see ch_h31's own note) -- ea_war_captain reused as generic conquest-army muscle, no faction identity implied.</t>
        </is>
      </c>
    </row>
    <row r="58">
      <c r="A58" s="17" t="inlineStr">
        <is>
          <t>spn_h31_mook1</t>
        </is>
      </c>
      <c r="B58" s="17" t="inlineStr">
        <is>
          <t>map_h31</t>
        </is>
      </c>
      <c r="C58" s="17" t="inlineStr">
        <is>
          <t>mook</t>
        </is>
      </c>
      <c r="D58" s="17" t="inlineStr">
        <is>
          <t>ea_war_captain</t>
        </is>
      </c>
      <c r="E58" s="17" t="n">
        <v>8</v>
      </c>
      <c r="F58" s="17" t="n">
        <v>13</v>
      </c>
      <c r="G58" s="17" t="n"/>
      <c r="H58" s="17" t="n"/>
      <c r="I58" s="17" t="n">
        <v>1</v>
      </c>
      <c r="J58" s="17" t="inlineStr">
        <is>
          <t>See spn_h31_den.</t>
        </is>
      </c>
    </row>
    <row r="59">
      <c r="A59" s="17" t="inlineStr">
        <is>
          <t>spn_h31_mook2</t>
        </is>
      </c>
      <c r="B59" s="17" t="inlineStr">
        <is>
          <t>map_h31</t>
        </is>
      </c>
      <c r="C59" s="17" t="inlineStr">
        <is>
          <t>mook</t>
        </is>
      </c>
      <c r="D59" s="17" t="inlineStr">
        <is>
          <t>ea_war_captain</t>
        </is>
      </c>
      <c r="E59" s="17" t="n">
        <v>13</v>
      </c>
      <c r="F59" s="17" t="n">
        <v>18</v>
      </c>
      <c r="G59" s="17" t="n"/>
      <c r="H59" s="17" t="n"/>
      <c r="I59" s="17" t="n">
        <v>1</v>
      </c>
      <c r="J59" s="17" t="inlineStr">
        <is>
          <t>See spn_h31_den.</t>
        </is>
      </c>
    </row>
    <row r="60">
      <c r="A60" s="17" t="inlineStr">
        <is>
          <t>spn_h33_den</t>
        </is>
      </c>
      <c r="B60" s="17" t="inlineStr">
        <is>
          <t>map_h33_mercy</t>
        </is>
      </c>
      <c r="C60" s="17" t="inlineStr">
        <is>
          <t>den</t>
        </is>
      </c>
      <c r="D60" s="17" t="inlineStr">
        <is>
          <t>ea_war_captain</t>
        </is>
      </c>
      <c r="E60" s="17" t="n">
        <v>1</v>
      </c>
      <c r="F60" s="17" t="n">
        <v>15</v>
      </c>
      <c r="G60" s="17" t="n">
        <v>3</v>
      </c>
      <c r="H60" s="17" t="n">
        <v>3</v>
      </c>
      <c r="I60" s="17" t="n">
        <v>1</v>
      </c>
      <c r="J60" s="17" t="inlineStr">
        <is>
          <t>No named identity; ea_war_captain reused, same tier as ch_h31 (the same movement, now underground).</t>
        </is>
      </c>
    </row>
    <row r="61">
      <c r="A61" s="17" t="inlineStr">
        <is>
          <t>spn_h33_mook1</t>
        </is>
      </c>
      <c r="B61" s="17" t="inlineStr">
        <is>
          <t>map_h33_mercy</t>
        </is>
      </c>
      <c r="C61" s="17" t="inlineStr">
        <is>
          <t>mook</t>
        </is>
      </c>
      <c r="D61" s="17" t="inlineStr">
        <is>
          <t>ea_war_captain</t>
        </is>
      </c>
      <c r="E61" s="17" t="n">
        <v>5</v>
      </c>
      <c r="F61" s="17" t="n">
        <v>3</v>
      </c>
      <c r="G61" s="17" t="n"/>
      <c r="H61" s="17" t="n"/>
      <c r="I61" s="17" t="n">
        <v>1</v>
      </c>
      <c r="J61" s="17" t="inlineStr">
        <is>
          <t>See spn_h33_den.</t>
        </is>
      </c>
    </row>
    <row r="62">
      <c r="A62" s="17" t="inlineStr">
        <is>
          <t>spn_h33_mook2</t>
        </is>
      </c>
      <c r="B62" s="17" t="inlineStr">
        <is>
          <t>map_h33_mercy</t>
        </is>
      </c>
      <c r="C62" s="17" t="inlineStr">
        <is>
          <t>mook</t>
        </is>
      </c>
      <c r="D62" s="17" t="inlineStr">
        <is>
          <t>ea_war_captain</t>
        </is>
      </c>
      <c r="E62" s="17" t="n">
        <v>10</v>
      </c>
      <c r="F62" s="17" t="n">
        <v>16</v>
      </c>
      <c r="G62" s="17" t="n"/>
      <c r="H62" s="17" t="n"/>
      <c r="I62" s="17" t="n">
        <v>1</v>
      </c>
      <c r="J62" s="17" t="inlineStr">
        <is>
          <t>See spn_h33_den.</t>
        </is>
      </c>
    </row>
    <row r="63">
      <c r="A63" s="17" t="inlineStr">
        <is>
          <t>spn_hw1_den</t>
        </is>
      </c>
      <c r="B63" s="17" t="inlineStr">
        <is>
          <t>map_h34_war1</t>
        </is>
      </c>
      <c r="C63" s="17" t="inlineStr">
        <is>
          <t>den</t>
        </is>
      </c>
      <c r="D63" s="17" t="inlineStr">
        <is>
          <t>ea_war_captain</t>
        </is>
      </c>
      <c r="E63" s="17" t="n">
        <v>1</v>
      </c>
      <c r="F63" s="17" t="n">
        <v>18</v>
      </c>
      <c r="G63" s="17" t="n">
        <v>3</v>
      </c>
      <c r="H63" s="17" t="n">
        <v>3</v>
      </c>
      <c r="I63" s="17" t="n">
        <v>1</v>
      </c>
      <c r="J63" s="17" t="inlineStr">
        <is>
          <t>'costly, attritional' (endings.end_hierophant_execution) -- ea_war_captain reused per front, same as ch_h31/ch_h33_mercy.</t>
        </is>
      </c>
    </row>
    <row r="64">
      <c r="A64" s="17" t="inlineStr">
        <is>
          <t>spn_hw1_mook1</t>
        </is>
      </c>
      <c r="B64" s="17" t="inlineStr">
        <is>
          <t>map_h34_war1</t>
        </is>
      </c>
      <c r="C64" s="17" t="inlineStr">
        <is>
          <t>mook</t>
        </is>
      </c>
      <c r="D64" s="17" t="inlineStr">
        <is>
          <t>ea_war_captain</t>
        </is>
      </c>
      <c r="E64" s="17" t="n">
        <v>6</v>
      </c>
      <c r="F64" s="17" t="n">
        <v>5</v>
      </c>
      <c r="G64" s="17" t="n"/>
      <c r="H64" s="17" t="n"/>
      <c r="I64" s="17" t="n">
        <v>1</v>
      </c>
      <c r="J64" s="17" t="inlineStr">
        <is>
          <t>See spn_hw1_den.</t>
        </is>
      </c>
    </row>
    <row r="65">
      <c r="A65" s="17" t="inlineStr">
        <is>
          <t>spn_hw1_mook2</t>
        </is>
      </c>
      <c r="B65" s="17" t="inlineStr">
        <is>
          <t>map_h34_war1</t>
        </is>
      </c>
      <c r="C65" s="17" t="inlineStr">
        <is>
          <t>mook</t>
        </is>
      </c>
      <c r="D65" s="17" t="inlineStr">
        <is>
          <t>ea_war_captain</t>
        </is>
      </c>
      <c r="E65" s="17" t="n">
        <v>10</v>
      </c>
      <c r="F65" s="17" t="n">
        <v>15</v>
      </c>
      <c r="G65" s="17" t="n"/>
      <c r="H65" s="17" t="n"/>
      <c r="I65" s="17" t="n">
        <v>1</v>
      </c>
      <c r="J65" s="17" t="inlineStr">
        <is>
          <t>See spn_hw1_den.</t>
        </is>
      </c>
    </row>
    <row r="66">
      <c r="A66" s="17" t="inlineStr">
        <is>
          <t>spn_hw2_den</t>
        </is>
      </c>
      <c r="B66" s="17" t="inlineStr">
        <is>
          <t>map_h34_war2</t>
        </is>
      </c>
      <c r="C66" s="17" t="inlineStr">
        <is>
          <t>den</t>
        </is>
      </c>
      <c r="D66" s="17" t="inlineStr">
        <is>
          <t>ea_war_captain</t>
        </is>
      </c>
      <c r="E66" s="17" t="n">
        <v>1</v>
      </c>
      <c r="F66" s="17" t="n">
        <v>18</v>
      </c>
      <c r="G66" s="17" t="n">
        <v>3</v>
      </c>
      <c r="H66" s="17" t="n">
        <v>3</v>
      </c>
      <c r="I66" s="17" t="n">
        <v>1</v>
      </c>
      <c r="J66" s="17" t="inlineStr">
        <is>
          <t>Same grounding and tier as spn_hw1_den -- the war's second, similarly grinding front.</t>
        </is>
      </c>
    </row>
    <row r="67">
      <c r="A67" s="17" t="inlineStr">
        <is>
          <t>spn_hw2_mook1</t>
        </is>
      </c>
      <c r="B67" s="17" t="inlineStr">
        <is>
          <t>map_h34_war2</t>
        </is>
      </c>
      <c r="C67" s="17" t="inlineStr">
        <is>
          <t>mook</t>
        </is>
      </c>
      <c r="D67" s="17" t="inlineStr">
        <is>
          <t>ea_war_captain</t>
        </is>
      </c>
      <c r="E67" s="17" t="n">
        <v>6</v>
      </c>
      <c r="F67" s="17" t="n">
        <v>5</v>
      </c>
      <c r="G67" s="17" t="n"/>
      <c r="H67" s="17" t="n"/>
      <c r="I67" s="17" t="n">
        <v>1</v>
      </c>
      <c r="J67" s="17" t="inlineStr">
        <is>
          <t>See spn_hw2_den.</t>
        </is>
      </c>
    </row>
    <row r="68">
      <c r="A68" s="17" t="inlineStr">
        <is>
          <t>spn_hw2_mook2</t>
        </is>
      </c>
      <c r="B68" s="17" t="inlineStr">
        <is>
          <t>map_h34_war2</t>
        </is>
      </c>
      <c r="C68" s="17" t="inlineStr">
        <is>
          <t>mook</t>
        </is>
      </c>
      <c r="D68" s="17" t="inlineStr">
        <is>
          <t>ea_war_captain</t>
        </is>
      </c>
      <c r="E68" s="17" t="n">
        <v>10</v>
      </c>
      <c r="F68" s="17" t="n">
        <v>15</v>
      </c>
      <c r="G68" s="17" t="n"/>
      <c r="H68" s="17" t="n"/>
      <c r="I68" s="17" t="n">
        <v>1</v>
      </c>
      <c r="J68" s="17" t="inlineStr">
        <is>
          <t>See spn_hw2_den.</t>
        </is>
      </c>
    </row>
    <row r="69">
      <c r="A69" s="17" t="inlineStr">
        <is>
          <t>spn_hw3_boss</t>
        </is>
      </c>
      <c r="B69" s="17" t="inlineStr">
        <is>
          <t>map_h34_war3</t>
        </is>
      </c>
      <c r="C69" s="17" t="inlineStr">
        <is>
          <t>boss</t>
        </is>
      </c>
      <c r="D69" s="17" t="inlineStr">
        <is>
          <t>ea_warlord</t>
        </is>
      </c>
      <c r="E69" s="17" t="n">
        <v>4</v>
      </c>
      <c r="F69" s="17" t="n">
        <v>10</v>
      </c>
      <c r="G69" s="17" t="n"/>
      <c r="H69" s="17" t="n"/>
      <c r="I69" s="17" t="n">
        <v>1</v>
      </c>
      <c r="J69" s="17" t="inlineStr">
        <is>
          <t>Closing chapter of the invented War arc -- ea_warlord (boss-tier template) reused for 'where it finally stops,' the arc's toughest fight.</t>
        </is>
      </c>
    </row>
    <row r="70">
      <c r="A70" s="17" t="inlineStr">
        <is>
          <t>spn_hw3_den</t>
        </is>
      </c>
      <c r="B70" s="17" t="inlineStr">
        <is>
          <t>map_h34_war3</t>
        </is>
      </c>
      <c r="C70" s="17" t="inlineStr">
        <is>
          <t>den</t>
        </is>
      </c>
      <c r="D70" s="17" t="inlineStr">
        <is>
          <t>ea_war_captain</t>
        </is>
      </c>
      <c r="E70" s="17" t="n">
        <v>1</v>
      </c>
      <c r="F70" s="17" t="n">
        <v>20</v>
      </c>
      <c r="G70" s="17" t="n">
        <v>3</v>
      </c>
      <c r="H70" s="17" t="n">
        <v>3</v>
      </c>
      <c r="I70" s="17" t="n">
        <v>1</v>
      </c>
      <c r="J70" s="17" t="inlineStr">
        <is>
          <t>Still attritional even at the close -- one last reinforcement den.</t>
        </is>
      </c>
    </row>
    <row r="71">
      <c r="A71" s="17" t="inlineStr">
        <is>
          <t>spn_pmacuil_boss</t>
        </is>
      </c>
      <c r="B71" s="17" t="inlineStr">
        <is>
          <t>map_p_macuil</t>
        </is>
      </c>
      <c r="C71" s="17" t="inlineStr">
        <is>
          <t>boss</t>
        </is>
      </c>
      <c r="D71" s="17" t="inlineStr">
        <is>
          <t>ea_warlord</t>
        </is>
      </c>
      <c r="E71" s="17" t="n">
        <v>5</v>
      </c>
      <c r="F71" s="17" t="n">
        <v>8</v>
      </c>
      <c r="G71" s="17" t="n"/>
      <c r="H71" s="17" t="n"/>
      <c r="I71" s="17" t="n">
        <v>1</v>
      </c>
      <c r="J71" s="17" t="inlineStr">
        <is>
          <t>npcs.npc_macuil: 'paralogue capstone.' ea_warlord reused for capstone-tier difficulty -- everything else about this fight is genuinely unwritten, see this map's own design_note.</t>
        </is>
      </c>
    </row>
    <row r="72">
      <c r="A72" s="17" t="inlineStr">
        <is>
          <t>spn_pindech_boss</t>
        </is>
      </c>
      <c r="B72" s="17" t="inlineStr">
        <is>
          <t>map_p_indech</t>
        </is>
      </c>
      <c r="C72" s="17" t="inlineStr">
        <is>
          <t>boss</t>
        </is>
      </c>
      <c r="D72" s="17" t="inlineStr">
        <is>
          <t>ea_warlord</t>
        </is>
      </c>
      <c r="E72" s="17" t="n">
        <v>2</v>
      </c>
      <c r="F72" s="17" t="n">
        <v>8</v>
      </c>
      <c r="G72" s="17" t="n"/>
      <c r="H72" s="17" t="n"/>
      <c r="I72" s="17" t="n">
        <v>1</v>
      </c>
      <c r="J72" s="17" t="inlineStr">
        <is>
          <t>npcs.npc_indech: 'paralogue capstone,' same treatment as map_p_macuil.</t>
        </is>
      </c>
    </row>
    <row r="73">
      <c r="A73" s="17" t="inlineStr">
        <is>
          <t>NOTE -- draft, review before treating as canon. row/col are grid coordinates in the corresponding map_*.txt file (0-indexed, row0=top). kind: 'boss'/'mook' spawn once at map load; 'den' spawns wave_size new enemy_id units every spawn_interval turns, up to max_waves (null = forever). Positions are placement choices grounded in each map's own text where possible (Boyan on the defend point, Vitomir/the relic hunter den by the reliquary) but the exact tile coordinates themselves are invented, not sourced. Drafted by a Claude Code session, 2026-09-23. ADDENDUM: 12 rows added for map_d01/d03/x11/b15. None of these four maps name a specific antagonist the way map_a02/a03 do -- every row here reuses an existing grounded archetype (ea_looter, ea_conscript_levy, ea_privateer, ea_war_captain) rather than inventing new named characters, per each row's own notes. Drafted by a Claude Code session, 2026-09-23. ADDENDUM 2: 9 rows added for map_d02/a01/d05 -- the last three maps in the maps tab without a scene. All three reuse archetypes whose own first_seen_map_id already points at these exact maps (ea_conscript_levy/d02, ea_looter/a01, ea_privateer/d05), the closest grounding this tab gets short of a named individual. Drafted by a Claude Code session, 2026-09-23. ADDENDUM 3: 17 rows added fleshing out the 6 Act2 skeleton maps (v21/v22/c21/m21/m22/r16) into playable content. All reuse existing archetypes -- none of these six name a specific individual antagonist the way map_a02/a03 do -- per each row's own notes. Drafted by a Claude Code session, 2026-09-23. ADDENDUM 4: 22 rows added fleshing out the 10 Act3/paralogue skeleton maps into playable content. Act3's tougher tier is reflected by reusing ea_war_captain/ea_warlord (the miniboss/boss templates) throughout rather than Act1/2's commoner-tier mooks -- no new archetypes invented, same discipline as every prior addendum. Drafted by a Claude Code session, 2026-09-23.</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28"/>
  <sheetViews>
    <sheetView workbookViewId="0">
      <selection activeCell="A1" sqref="A1"/>
    </sheetView>
  </sheetViews>
  <sheetFormatPr baseColWidth="8" defaultRowHeight="15"/>
  <cols>
    <col width="16" customWidth="1" style="18" min="1" max="1"/>
    <col width="8" customWidth="1" style="18" min="2" max="2"/>
    <col width="30" customWidth="1" style="18" min="3" max="3"/>
    <col width="14" customWidth="1" style="18" min="4" max="4"/>
    <col width="12" customWidth="1" style="18" min="5" max="5"/>
    <col width="12" customWidth="1" style="18" min="6" max="6"/>
    <col width="12" customWidth="1" style="18" min="7" max="7"/>
    <col width="18" customWidth="1" style="18" min="8" max="8"/>
    <col width="16" customWidth="1" style="18" min="9" max="9"/>
    <col width="90" customWidth="1" style="18" min="10" max="10"/>
  </cols>
  <sheetData>
    <row r="1">
      <c r="A1" s="26" t="inlineStr">
        <is>
          <t>terrain_id</t>
        </is>
      </c>
      <c r="B1" s="26" t="inlineStr">
        <is>
          <t>symbol</t>
        </is>
      </c>
      <c r="C1" s="26" t="inlineStr">
        <is>
          <t>name</t>
        </is>
      </c>
      <c r="D1" s="26" t="inlineStr">
        <is>
          <t>move_infantry</t>
        </is>
      </c>
      <c r="E1" s="26" t="inlineStr">
        <is>
          <t>move_armor</t>
        </is>
      </c>
      <c r="F1" s="26" t="inlineStr">
        <is>
          <t>move_riding</t>
        </is>
      </c>
      <c r="G1" s="26" t="inlineStr">
        <is>
          <t>move_flying</t>
        </is>
      </c>
      <c r="H1" s="26" t="inlineStr">
        <is>
          <t>move_infantry_wet</t>
        </is>
      </c>
      <c r="I1" s="26" t="inlineStr">
        <is>
          <t>move_armor_wet</t>
        </is>
      </c>
      <c r="J1" s="26" t="inlineStr">
        <is>
          <t>hazard_dmg</t>
        </is>
      </c>
      <c r="K1" s="26" t="inlineStr">
        <is>
          <t>notes</t>
        </is>
      </c>
    </row>
    <row r="2">
      <c r="A2" s="17" t="inlineStr">
        <is>
          <t>ter_court</t>
        </is>
      </c>
      <c r="B2" s="17" t="inlineStr">
        <is>
          <t>.</t>
        </is>
      </c>
      <c r="C2" s="17" t="inlineStr">
        <is>
          <t>court</t>
        </is>
      </c>
      <c r="D2" s="17" t="n">
        <v>1</v>
      </c>
      <c r="E2" s="17" t="n">
        <v>1</v>
      </c>
      <c r="F2" s="17" t="n">
        <v>1</v>
      </c>
      <c r="G2" s="17" t="n">
        <v>1</v>
      </c>
      <c r="J2" s="17" t="n">
        <v>0</v>
      </c>
      <c r="K2" s="17" t="inlineStr">
        <is>
          <t>plain open ground; no cost basis stated in docs, defaulted to 1</t>
        </is>
      </c>
    </row>
    <row r="3">
      <c r="A3" s="17" t="inlineStr">
        <is>
          <t>ter_span</t>
        </is>
      </c>
      <c r="B3" s="17" t="inlineStr">
        <is>
          <t>a</t>
        </is>
      </c>
      <c r="C3" s="17" t="inlineStr">
        <is>
          <t>the span, one tile</t>
        </is>
      </c>
      <c r="D3" s="17" t="n">
        <v>1</v>
      </c>
      <c r="E3" s="17" t="n">
        <v>1</v>
      </c>
      <c r="F3" s="17" t="n">
        <v>1</v>
      </c>
      <c r="G3" s="17" t="n">
        <v>1</v>
      </c>
      <c r="J3" s="17" t="n">
        <v>0</v>
      </c>
      <c r="K3" s="17" t="inlineStr">
        <is>
          <t>width-1 chokepoint per Bel-Iddin's note; that's a grid-topology fact, not a cost -- this table only carries cost</t>
        </is>
      </c>
    </row>
    <row r="4">
      <c r="A4" s="17" t="inlineStr">
        <is>
          <t>ter_terrace_high</t>
        </is>
      </c>
      <c r="B4" s="17" t="inlineStr">
        <is>
          <t>T</t>
        </is>
      </c>
      <c r="C4" s="17" t="inlineStr">
        <is>
          <t>high terrace</t>
        </is>
      </c>
      <c r="D4" s="17" t="n">
        <v>1</v>
      </c>
      <c r="E4" s="17" t="n">
        <v>1</v>
      </c>
      <c r="F4" s="17" t="n">
        <v>99</v>
      </c>
      <c r="G4" s="17" t="n">
        <v>1</v>
      </c>
      <c r="H4" s="17" t="n">
        <v>2</v>
      </c>
      <c r="I4" s="17" t="n">
        <v>2</v>
      </c>
      <c r="J4" s="17" t="n">
        <v>0</v>
      </c>
      <c r="K4" s="17" t="inlineStr">
        <is>
          <t>riding impassable per Tasme ('cannot climb the terraces'); +1 wet per map_f00's terrain note ('stepped terraces (+1 cost when wet)'), applied here to infantry/armor -- unclear if a riding-wet cost is even meaningful given riding is already blocked outright</t>
        </is>
      </c>
    </row>
    <row r="5">
      <c r="A5" s="17" t="inlineStr">
        <is>
          <t>ter_wall_face</t>
        </is>
      </c>
      <c r="B5" s="17" t="inlineStr">
        <is>
          <t>x</t>
        </is>
      </c>
      <c r="C5" s="17" t="inlineStr">
        <is>
          <t>wall face / temple (impassable)</t>
        </is>
      </c>
      <c r="D5" s="17" t="n">
        <v>99</v>
      </c>
      <c r="E5" s="17" t="n">
        <v>99</v>
      </c>
      <c r="F5" s="17" t="n">
        <v>99</v>
      </c>
      <c r="G5" s="17" t="n">
        <v>1</v>
      </c>
      <c r="J5" s="17" t="n">
        <v>0</v>
      </c>
      <c r="K5" s="17" t="inlineStr">
        <is>
          <t>labelled impassable in both map_f00.txt and map_f00_reference.png legends; flying=1 is my inference (open air above a retaining wall), not stated outright</t>
        </is>
      </c>
    </row>
    <row r="6">
      <c r="A6" s="17" t="inlineStr">
        <is>
          <t>ter_wall</t>
        </is>
      </c>
      <c r="B6" s="17" t="inlineStr">
        <is>
          <t>W</t>
        </is>
      </c>
      <c r="C6" s="17" t="inlineStr">
        <is>
          <t>the wall (destructible structure)</t>
        </is>
      </c>
      <c r="D6" s="17" t="n">
        <v>99</v>
      </c>
      <c r="E6" s="17" t="n">
        <v>99</v>
      </c>
      <c r="F6" s="17" t="n">
        <v>99</v>
      </c>
      <c r="G6" s="17" t="n">
        <v>1</v>
      </c>
      <c r="J6" s="17" t="n">
        <v>0</v>
      </c>
      <c r="K6" s="17" t="inlineStr">
        <is>
          <t>impassable while standing; Enmet removes it turn 1 (prologue_structures.str_wall). This table has no state machine -- treat as ter_court once destroyed. Needs real structure-state wiring later, not just a static lookup</t>
        </is>
      </c>
    </row>
    <row r="7">
      <c r="A7" s="17" t="inlineStr">
        <is>
          <t>ter_planted</t>
        </is>
      </c>
      <c r="B7" s="17" t="inlineStr">
        <is>
          <t>g</t>
        </is>
      </c>
      <c r="C7" s="17" t="inlineStr">
        <is>
          <t>planted terrace</t>
        </is>
      </c>
      <c r="D7" s="17" t="n">
        <v>1</v>
      </c>
      <c r="E7" s="17" t="n">
        <v>1</v>
      </c>
      <c r="F7" s="17" t="n">
        <v>1</v>
      </c>
      <c r="G7" s="17" t="n">
        <v>1</v>
      </c>
      <c r="J7" s="17" t="n">
        <v>0</v>
      </c>
      <c r="K7" s="17" t="inlineStr">
        <is>
          <t>no cost stated anywhere in the docs; defaulted to 1, revise if this should slow movement</t>
        </is>
      </c>
    </row>
    <row r="8">
      <c r="A8" s="17" t="inlineStr">
        <is>
          <t>ter_stair</t>
        </is>
      </c>
      <c r="B8" s="17" t="inlineStr">
        <is>
          <t>t</t>
        </is>
      </c>
      <c r="C8" s="17" t="inlineStr">
        <is>
          <t>stair</t>
        </is>
      </c>
      <c r="D8" s="17" t="n">
        <v>1</v>
      </c>
      <c r="E8" s="17" t="n">
        <v>1</v>
      </c>
      <c r="F8" s="17" t="n">
        <v>1</v>
      </c>
      <c r="G8" s="17" t="n">
        <v>1</v>
      </c>
      <c r="J8" s="17" t="n">
        <v>0</v>
      </c>
      <c r="K8" s="17" t="inlineStr">
        <is>
          <t>no cost stated anywhere in the docs; defaulted to 1. These are the only gaps through the x rows -- worth deciding if they should be slower or movement-type-restricted</t>
        </is>
      </c>
    </row>
    <row r="9">
      <c r="A9" s="17" t="inlineStr">
        <is>
          <t>ter_statue</t>
        </is>
      </c>
      <c r="B9" s="17" t="inlineStr">
        <is>
          <t>S</t>
        </is>
      </c>
      <c r="C9" s="17" t="inlineStr">
        <is>
          <t>the image / statue (structure)</t>
        </is>
      </c>
      <c r="D9" s="17" t="n">
        <v>99</v>
      </c>
      <c r="E9" s="17" t="n">
        <v>99</v>
      </c>
      <c r="F9" s="17" t="n">
        <v>99</v>
      </c>
      <c r="G9" s="17" t="n">
        <v>1</v>
      </c>
      <c r="J9" s="17" t="n">
        <v>0</v>
      </c>
      <c r="K9" s="17" t="inlineStr">
        <is>
          <t>occupies its tile as a structure, not steppable -- same pattern as ter_wall, see prologue_structures.str_statue</t>
        </is>
      </c>
    </row>
    <row r="10">
      <c r="A10" s="17" t="inlineStr">
        <is>
          <t>ter_seize</t>
        </is>
      </c>
      <c r="B10" s="17" t="inlineStr">
        <is>
          <t>*</t>
        </is>
      </c>
      <c r="C10" s="17" t="inlineStr">
        <is>
          <t>seize (Sargath only)</t>
        </is>
      </c>
      <c r="D10" s="17" t="n">
        <v>1</v>
      </c>
      <c r="E10" s="17" t="n">
        <v>1</v>
      </c>
      <c r="F10" s="17" t="n">
        <v>1</v>
      </c>
      <c r="G10" s="17" t="n">
        <v>1</v>
      </c>
      <c r="J10" s="17" t="n">
        <v>0</v>
      </c>
      <c r="K10" s="17" t="inlineStr">
        <is>
          <t>functionally plain ground; 'Sargath only' is an objective rule (who may seize), not a movement cost -- out of scope here</t>
        </is>
      </c>
    </row>
    <row r="11">
      <c r="A11" s="17" t="inlineStr">
        <is>
          <t>ter_channel</t>
        </is>
      </c>
      <c r="B11" s="17" t="inlineStr">
        <is>
          <t>c</t>
        </is>
      </c>
      <c r="C11" s="17" t="inlineStr">
        <is>
          <t>channel</t>
        </is>
      </c>
      <c r="D11" s="17" t="n">
        <v>99</v>
      </c>
      <c r="E11" s="17" t="n">
        <v>99</v>
      </c>
      <c r="F11" s="17" t="n">
        <v>99</v>
      </c>
      <c r="G11" s="17" t="n">
        <v>1</v>
      </c>
      <c r="J11" s="17" t="n">
        <v>0</v>
      </c>
      <c r="K11" s="17" t="inlineStr">
        <is>
          <t>flying only, per map_f00's own approaches list ('the channels (flying only)'); Sirru's note says water blocks feet but not arrows -- that's an attack-range rule, a separate system, not represented in this table</t>
        </is>
      </c>
    </row>
    <row r="12">
      <c r="A12" s="17" t="inlineStr">
        <is>
          <t>ter_rooftop</t>
        </is>
      </c>
      <c r="B12" s="17" t="inlineStr">
        <is>
          <t>r</t>
        </is>
      </c>
      <c r="C12" s="17" t="inlineStr">
        <is>
          <t>rooftop (map_a02)</t>
        </is>
      </c>
      <c r="D12" s="17" t="n">
        <v>99</v>
      </c>
      <c r="E12" s="17" t="n">
        <v>99</v>
      </c>
      <c r="F12" s="17" t="n">
        <v>99</v>
      </c>
      <c r="G12" s="17" t="n">
        <v>1</v>
      </c>
      <c r="J12" s="17" t="n">
        <v>0</v>
      </c>
      <c r="K12" s="17" t="inlineStr">
        <is>
          <t>flying only, per map_a02's own approaches list ('rooftops (flying)').</t>
        </is>
      </c>
    </row>
    <row r="13">
      <c r="A13" s="17" t="inlineStr">
        <is>
          <t>ter_building</t>
        </is>
      </c>
      <c r="B13" s="17" t="inlineStr">
        <is>
          <t>b</t>
        </is>
      </c>
      <c r="C13" s="17" t="inlineStr">
        <is>
          <t>building (map_a02, impassable)</t>
        </is>
      </c>
      <c r="D13" s="17" t="n">
        <v>99</v>
      </c>
      <c r="E13" s="17" t="n">
        <v>99</v>
      </c>
      <c r="F13" s="17" t="n">
        <v>99</v>
      </c>
      <c r="G13" s="17" t="n">
        <v>99</v>
      </c>
      <c r="J13" s="17" t="n">
        <v>0</v>
      </c>
      <c r="K13" s="17" t="inlineStr">
        <is>
          <t>street-front facades; also blocks flying, unlike f00's wall-face -- these are roofed structures, not a retaining wall's open-air top.</t>
        </is>
      </c>
    </row>
    <row r="14">
      <c r="A14" s="17" t="inlineStr">
        <is>
          <t>ter_wide_street</t>
        </is>
      </c>
      <c r="B14" s="17" t="inlineStr">
        <is>
          <t>d</t>
        </is>
      </c>
      <c r="C14" s="17" t="inlineStr">
        <is>
          <t>wide street (map_a02)</t>
        </is>
      </c>
      <c r="D14" s="17" t="n">
        <v>1</v>
      </c>
      <c r="E14" s="17" t="n">
        <v>1</v>
      </c>
      <c r="F14" s="17" t="n">
        <v>1</v>
      </c>
      <c r="G14" s="17" t="n">
        <v>1</v>
      </c>
      <c r="J14" s="17" t="n">
        <v>0</v>
      </c>
      <c r="K14" s="17" t="inlineStr">
        <is>
          <t>per map_a02's approaches: 'wide street (riding)'. All movement types pay the same cost here -- width, not cost, is what favors riding (no per-map chokepoint-vs-type system exists, same limitation ter_span's note already flags).</t>
        </is>
      </c>
    </row>
    <row r="15">
      <c r="A15" s="17" t="inlineStr">
        <is>
          <t>ter_narrow_street</t>
        </is>
      </c>
      <c r="B15" s="17" t="inlineStr">
        <is>
          <t>s</t>
        </is>
      </c>
      <c r="C15" s="17" t="inlineStr">
        <is>
          <t>narrow street (map_a02)</t>
        </is>
      </c>
      <c r="D15" s="17" t="n">
        <v>1</v>
      </c>
      <c r="E15" s="17" t="n">
        <v>99</v>
      </c>
      <c r="F15" s="17" t="n">
        <v>99</v>
      </c>
      <c r="G15" s="17" t="n">
        <v>1</v>
      </c>
      <c r="J15" s="17" t="n">
        <v>0</v>
      </c>
      <c r="K15" s="17" t="inlineStr">
        <is>
          <t>per map_a02's approaches: 'narrow street (foot)' -- armor/riding blocked outright, same convention as ter_terrace_high blocking riding.</t>
        </is>
      </c>
    </row>
    <row r="16">
      <c r="A16" s="17" t="inlineStr">
        <is>
          <t>ter_plaza</t>
        </is>
      </c>
      <c r="B16" s="17" t="inlineStr">
        <is>
          <t>p</t>
        </is>
      </c>
      <c r="C16" s="17" t="inlineStr">
        <is>
          <t>crowd plaza (map_a02)</t>
        </is>
      </c>
      <c r="D16" s="17" t="n">
        <v>2</v>
      </c>
      <c r="E16" s="17" t="n">
        <v>2</v>
      </c>
      <c r="F16" s="17" t="n">
        <v>2</v>
      </c>
      <c r="G16" s="17" t="n">
        <v>1</v>
      </c>
      <c r="J16" s="17" t="n">
        <v>0</v>
      </c>
      <c r="K16" s="17" t="inlineStr">
        <is>
          <t>map_a02.terrain: 'crowd tiles' -- cost 2 for ground types (congestion), flying unaffected. Where Boyan and the townsfolk stand, and the deploy zone.</t>
        </is>
      </c>
    </row>
    <row r="17">
      <c r="A17" s="17" t="inlineStr">
        <is>
          <t>ter_cloister</t>
        </is>
      </c>
      <c r="B17" s="17" t="inlineStr">
        <is>
          <t>i</t>
        </is>
      </c>
      <c r="C17" s="17" t="inlineStr">
        <is>
          <t>cloister (map_a03)</t>
        </is>
      </c>
      <c r="D17" s="17" t="n">
        <v>1</v>
      </c>
      <c r="E17" s="17" t="n">
        <v>1</v>
      </c>
      <c r="F17" s="17" t="n">
        <v>1</v>
      </c>
      <c r="G17" s="17" t="n">
        <v>99</v>
      </c>
      <c r="J17" s="17" t="n">
        <v>0</v>
      </c>
      <c r="K17" s="17" t="inlineStr">
        <is>
          <t>map_a03's own approaches: 'cloister (indoors, no cold)'. Blocks flying (roofed corridor) -- the tradeoff for being the only cold-safe terrain here.</t>
        </is>
      </c>
    </row>
    <row r="18">
      <c r="A18" s="17" t="inlineStr">
        <is>
          <t>ter_open_ward</t>
        </is>
      </c>
      <c r="B18" s="17" t="inlineStr">
        <is>
          <t>o</t>
        </is>
      </c>
      <c r="C18" s="17" t="inlineStr">
        <is>
          <t>open ward (map_a03)</t>
        </is>
      </c>
      <c r="D18" s="17" t="n">
        <v>1</v>
      </c>
      <c r="E18" s="17" t="n">
        <v>1</v>
      </c>
      <c r="F18" s="17" t="n">
        <v>1</v>
      </c>
      <c r="G18" s="17" t="n">
        <v>1</v>
      </c>
      <c r="J18" s="17" t="n">
        <v>2</v>
      </c>
      <c r="K18" s="17" t="inlineStr">
        <is>
          <t>map_a03's approaches: 'open ward (fast, costly)' -- 'fast' is the cost-1 move, 'costly' is the hazard_dmg. map_a03.terrain: 'cold drains 2 HP/turn outdoors'.</t>
        </is>
      </c>
    </row>
    <row r="19">
      <c r="A19" s="17" t="inlineStr">
        <is>
          <t>ter_rubble</t>
        </is>
      </c>
      <c r="B19" s="17" t="inlineStr">
        <is>
          <t>u</t>
        </is>
      </c>
      <c r="C19" s="17" t="inlineStr">
        <is>
          <t>rubble (map_a03)</t>
        </is>
      </c>
      <c r="D19" s="17" t="n">
        <v>2</v>
      </c>
      <c r="E19" s="17" t="n">
        <v>3</v>
      </c>
      <c r="F19" s="17" t="n">
        <v>3</v>
      </c>
      <c r="G19" s="17" t="n">
        <v>1</v>
      </c>
      <c r="J19" s="17" t="n">
        <v>2</v>
      </c>
      <c r="K19" s="17" t="inlineStr">
        <is>
          <t>ruined-priory debris; armor/riding slowed more than infantry, flying unaffected. Still outdoors -- same 2 HP/turn cold drain as ter_open_ward.</t>
        </is>
      </c>
    </row>
    <row r="20">
      <c r="A20" s="17" t="inlineStr">
        <is>
          <t>ter_reliquary</t>
        </is>
      </c>
      <c r="B20" s="17" t="inlineStr">
        <is>
          <t>R</t>
        </is>
      </c>
      <c r="C20" s="17" t="inlineStr">
        <is>
          <t>reliquary (map_a03, objective)</t>
        </is>
      </c>
      <c r="D20" s="17" t="n">
        <v>1</v>
      </c>
      <c r="E20" s="17" t="n">
        <v>1</v>
      </c>
      <c r="F20" s="17" t="n">
        <v>1</v>
      </c>
      <c r="G20" s="17" t="n">
        <v>1</v>
      </c>
      <c r="J20" s="17" t="n">
        <v>2</v>
      </c>
      <c r="K20" s="17" t="inlineStr">
        <is>
          <t>the 'take-or-give' objective tile itself; costs and hazard match ter_open_ward (it sits in the open ward, not the cloister).</t>
        </is>
      </c>
    </row>
    <row r="21">
      <c r="A21" s="17" t="inlineStr">
        <is>
          <t>ter_defend_point</t>
        </is>
      </c>
      <c r="B21" s="17" t="inlineStr">
        <is>
          <t>D</t>
        </is>
      </c>
      <c r="C21" s="17" t="inlineStr">
        <is>
          <t>defend point (map_a02, objective)</t>
        </is>
      </c>
      <c r="D21" s="17" t="n">
        <v>2</v>
      </c>
      <c r="E21" s="17" t="n">
        <v>2</v>
      </c>
      <c r="F21" s="17" t="n">
        <v>2</v>
      </c>
      <c r="G21" s="17" t="n">
        <v>1</v>
      </c>
      <c r="J21" s="17" t="n">
        <v>0</v>
      </c>
      <c r="K21" s="17" t="inlineStr">
        <is>
          <t>same cost as ter_plaza (it IS a plaza tile) -- distinct symbol only so map logic can find the objective without scanning for a specific coordinate.</t>
        </is>
      </c>
    </row>
    <row r="22">
      <c r="A22" s="17" t="inlineStr">
        <is>
          <t>ter_escape</t>
        </is>
      </c>
      <c r="B22" s="17" t="inlineStr">
        <is>
          <t>E</t>
        </is>
      </c>
      <c r="C22" s="17" t="inlineStr">
        <is>
          <t>escape tile (map_a03, objective)</t>
        </is>
      </c>
      <c r="D22" s="17" t="n">
        <v>1</v>
      </c>
      <c r="E22" s="17" t="n">
        <v>1</v>
      </c>
      <c r="F22" s="17" t="n">
        <v>1</v>
      </c>
      <c r="G22" s="17" t="n">
        <v>99</v>
      </c>
      <c r="J22" s="17" t="n">
        <v>0</v>
      </c>
      <c r="K22" s="17" t="inlineStr">
        <is>
          <t>same cost/hazard as ter_cloister (it's the ring's south-center tile) -- distinct symbol so map logic can find the objective.</t>
        </is>
      </c>
    </row>
    <row r="23">
      <c r="A23" s="17" t="inlineStr">
        <is>
          <t>ter_ford</t>
        </is>
      </c>
      <c r="B23" s="17" t="inlineStr">
        <is>
          <t>F</t>
        </is>
      </c>
      <c r="C23" s="17" t="inlineStr">
        <is>
          <t>ford (map_d03)</t>
        </is>
      </c>
      <c r="D23" s="17" t="n">
        <v>1</v>
      </c>
      <c r="E23" s="17" t="n">
        <v>99</v>
      </c>
      <c r="F23" s="17" t="n">
        <v>99</v>
      </c>
      <c r="G23" s="17" t="n">
        <v>1</v>
      </c>
      <c r="J23" s="17" t="n">
        <v>0</v>
      </c>
      <c r="K23" s="17" t="inlineStr">
        <is>
          <t>per map_d03's own approaches: 'southern ford (foot only)' -- same cost profile as ter_narrow_street, distinct symbol/name since it's a river crossing, not a street.</t>
        </is>
      </c>
    </row>
    <row r="24">
      <c r="A24" s="17" t="inlineStr">
        <is>
          <t>ter_covered_market</t>
        </is>
      </c>
      <c r="B24" s="17" t="inlineStr">
        <is>
          <t>k</t>
        </is>
      </c>
      <c r="C24" s="17" t="inlineStr">
        <is>
          <t>covered arcade / awnings (map_b15)</t>
        </is>
      </c>
      <c r="D24" s="17" t="n">
        <v>1</v>
      </c>
      <c r="E24" s="17" t="n">
        <v>1</v>
      </c>
      <c r="F24" s="17" t="n">
        <v>1</v>
      </c>
      <c r="G24" s="17" t="n">
        <v>99</v>
      </c>
      <c r="J24" s="17" t="n">
        <v>0</v>
      </c>
      <c r="K24" s="17" t="inlineStr">
        <is>
          <t>map_b15.terrain: 'awnings block flight, arcade blocks bows' -- the flight block is modeled (blocks flying like ter_cloister does); the bow-block is an attack-range restriction, not a movement cost, and isn't modeled anywhere yet.</t>
        </is>
      </c>
    </row>
    <row r="25">
      <c r="A25" s="17" t="inlineStr">
        <is>
          <t>ter_hedgerow</t>
        </is>
      </c>
      <c r="B25" s="17" t="inlineStr">
        <is>
          <t>h</t>
        </is>
      </c>
      <c r="C25" s="17" t="inlineStr">
        <is>
          <t>hedgerow (map_d02)</t>
        </is>
      </c>
      <c r="D25" s="17" t="n">
        <v>1</v>
      </c>
      <c r="E25" s="17" t="n">
        <v>1</v>
      </c>
      <c r="F25" s="17" t="n">
        <v>99</v>
      </c>
      <c r="G25" s="17" t="n">
        <v>1</v>
      </c>
      <c r="J25" s="17" t="n">
        <v>0</v>
      </c>
      <c r="K25" s="17" t="inlineStr">
        <is>
          <t>map_d02's own approaches: 'hedgerow foot path' vs 'open road (riding)' -- hedgerows block riding specifically (armor still passes), per the map's own terrain text 'hedgerows block riding.' Distinct from ter_narrow_street, which blocks both armor and riding.</t>
        </is>
      </c>
    </row>
    <row r="26">
      <c r="A26" s="17" t="inlineStr">
        <is>
          <t>ter_miasma</t>
        </is>
      </c>
      <c r="B26" s="17" t="inlineStr">
        <is>
          <t>m</t>
        </is>
      </c>
      <c r="C26" s="17" t="inlineStr">
        <is>
          <t>miasma (map_a01)</t>
        </is>
      </c>
      <c r="D26" s="17" t="n">
        <v>1</v>
      </c>
      <c r="E26" s="17" t="n">
        <v>1</v>
      </c>
      <c r="F26" s="17" t="n">
        <v>1</v>
      </c>
      <c r="G26" s="17" t="n">
        <v>1</v>
      </c>
      <c r="J26" s="17" t="n">
        <v>2</v>
      </c>
      <c r="K26" s="17" t="inlineStr">
        <is>
          <t>map_a01.terrain: 'miasma tiles.' Toxic gas, so hazard applies to flying too (unlike map_a03's cold, this isn't a ground-only effect) -- same 2 HP/turn as ter_open_ward, reused rather than inventing a different number.</t>
        </is>
      </c>
    </row>
    <row r="27">
      <c r="A27" s="17" t="inlineStr">
        <is>
          <t>ter_ice</t>
        </is>
      </c>
      <c r="B27" s="17" t="inlineStr">
        <is>
          <t>n</t>
        </is>
      </c>
      <c r="C27" s="17" t="inlineStr">
        <is>
          <t>ice (map_a01)</t>
        </is>
      </c>
      <c r="D27" s="17" t="n">
        <v>1</v>
      </c>
      <c r="E27" s="17" t="n">
        <v>1</v>
      </c>
      <c r="F27" s="17" t="n">
        <v>1</v>
      </c>
      <c r="G27" s="17" t="n">
        <v>1</v>
      </c>
      <c r="J27" s="17" t="n">
        <v>1</v>
      </c>
      <c r="K27" s="17" t="inlineStr">
        <is>
          <t>map_a01's approaches: 'the ice (risky, fast).' 'Fast' isn't modeled (cost is the same 1 as everything else here, nothing to contrast it against); 'risky' is simplified to a minor 1 HP/turn hazard, a stand-in for a real slip mechanic this pass doesn't build.</t>
        </is>
      </c>
    </row>
    <row r="28">
      <c r="A28" s="17" t="inlineStr">
        <is>
          <t>NOTE -- draft, review before treating as canon. 99 = impassable (genre convention: any integer exceeding every unit's move stat). Two real gaps this table exposes rather than solves: (1) prologue_roster has no movement_type column, so nothing can actually look up 'Tasme is riding' to apply these costs yet; (2) ter_wall/ter_statue costs are static but should really key off prologue_structures' HP/destroyed state instead of a fixed lookup. Grounded in map_f00.txt, map_f00_reference.png, maps.terrain for map_f00, and prologue_roster's per-unit notes; g/t/./a/* costs have no textual basis anywhere and are placeholder 1s pending your call. Drafted by a Claude Code session, 2026-09-14. ADDENDUM: hazard_dmg column + 11 new symbols added for map_a02/map_a03 (D and E -- defend point, escape tile -- also added as their own rows, matching whatever base terrain they sit on, since every grid symbol needs a cost/hazard entry or map_grid treats it as impassable). hazard_dmg is flat HP lost for ending a turn on that tile -- only map_a03's outdoor tiles (o/u/R) use it, grounded directly in map_a03's own terrain text ('cold drains 2 HP/turn outdoors'). Drafted by a Claude Code session, 2026-09-23. ADDENDUM 2: ter_ford (map_d03) and ter_covered_market (map_b15) added. d01/x11 reuse entirely existing symbols (./s/b/*/a/c/E) rather than adding new ones -- 'dock frontage'/'warehouse lane'/'muster field'/'river crossing' all matched an existing cost profile closely enough not to warrant a new row. Drafted by a Claude Code session, 2026-09-23. ADDENDUM 3: ter_hedgerow (map_d02), ter_miasma/ter_ice (map_a01) added. map_d05 reuses ter_channel entirely for its open water ('riding impossible, armor sinks' already matches ter_channel's existing cost profile exactly) and ter_span for its gangways -- no new symbols needed there. Drafted by a Claude Code session, 2026-09-23.</t>
        </is>
      </c>
    </row>
  </sheetData>
  <pageMargins left="0.75" right="0.75" top="1" bottom="1" header="0.5" footer="0.5"/>
</worksheet>
</file>

<file path=xl/worksheets/sheet12.xml><?xml version="1.0" encoding="utf-8"?>
<worksheet xmlns="http://schemas.openxmlformats.org/spreadsheetml/2006/main">
  <sheetPr filterMode="0">
    <outlinePr summaryBelow="1" summaryRight="1"/>
    <pageSetUpPr fitToPage="0"/>
  </sheetPr>
  <dimension ref="A1:L2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17" min="1" max="1"/>
    <col width="7" customWidth="1" style="17" min="2" max="2"/>
    <col width="10" customWidth="1" style="17" min="3" max="3"/>
    <col width="9" customWidth="1" style="17" min="4" max="5"/>
    <col width="20" customWidth="1" style="17" min="6" max="6"/>
    <col width="11" customWidth="1" style="17" min="7" max="7"/>
    <col width="12" customWidth="1" style="17" min="8" max="8"/>
    <col width="26" customWidth="1" style="17" min="9" max="9"/>
    <col width="44" customWidth="1" style="17" min="10" max="10"/>
    <col width="16" customWidth="1" style="17" min="11" max="11"/>
    <col width="22" customWidth="1" style="17" min="12" max="12"/>
  </cols>
  <sheetData>
    <row r="1" ht="30" customHeight="1" s="18">
      <c r="A1" s="21" t="inlineStr">
        <is>
          <t>chapter_id</t>
        </is>
      </c>
      <c r="B1" s="21" t="inlineStr">
        <is>
          <t>act</t>
        </is>
      </c>
      <c r="C1" s="21" t="inlineStr">
        <is>
          <t>route</t>
        </is>
      </c>
      <c r="D1" s="21" t="inlineStr">
        <is>
          <t>column</t>
        </is>
      </c>
      <c r="E1" s="21" t="inlineStr">
        <is>
          <t>number</t>
        </is>
      </c>
      <c r="F1" s="21" t="inlineStr">
        <is>
          <t>title</t>
        </is>
      </c>
      <c r="G1" s="21" t="inlineStr">
        <is>
          <t>map_id</t>
        </is>
      </c>
      <c r="H1" s="21" t="inlineStr">
        <is>
          <t>sect_id</t>
        </is>
      </c>
      <c r="I1" s="21" t="inlineStr">
        <is>
          <t>recruits_unit_ids</t>
        </is>
      </c>
      <c r="J1" s="21" t="inlineStr">
        <is>
          <t>notes</t>
        </is>
      </c>
      <c r="K1" s="21" t="inlineStr">
        <is>
          <t>tonal_register</t>
        </is>
      </c>
      <c r="L1" s="21" t="inlineStr">
        <is>
          <t>teaches_system</t>
        </is>
      </c>
    </row>
    <row r="2" ht="15" customHeight="1" s="18">
      <c r="A2" s="23" t="inlineStr">
        <is>
          <t>ch_d01</t>
        </is>
      </c>
      <c r="B2" s="23" t="inlineStr">
        <is>
          <t>1</t>
        </is>
      </c>
      <c r="C2" s="23" t="inlineStr">
        <is>
          <t>diadem</t>
        </is>
      </c>
      <c r="D2" s="23" t="inlineStr">
        <is>
          <t>unified</t>
        </is>
      </c>
      <c r="E2" s="23" t="n">
        <v>1</v>
      </c>
      <c r="F2" s="23" t="inlineStr">
        <is>
          <t>The tally house</t>
        </is>
      </c>
      <c r="G2" s="23" t="inlineStr">
        <is>
          <t>map_d01</t>
        </is>
      </c>
      <c r="H2" s="23" t="n"/>
      <c r="I2" s="23" t="inlineStr">
        <is>
          <t>u_kheldar</t>
        </is>
      </c>
      <c r="J2" s="23" t="n"/>
      <c r="K2" s="24" t="inlineStr">
        <is>
          <t>cold</t>
        </is>
      </c>
      <c r="L2" s="24" t="inlineStr">
        <is>
          <t>positioning</t>
        </is>
      </c>
    </row>
    <row r="3" ht="15" customHeight="1" s="18">
      <c r="A3" s="23" t="inlineStr">
        <is>
          <t>ch_d02</t>
        </is>
      </c>
      <c r="B3" s="23" t="inlineStr">
        <is>
          <t>1</t>
        </is>
      </c>
      <c r="C3" s="23" t="inlineStr">
        <is>
          <t>diadem</t>
        </is>
      </c>
      <c r="D3" s="23" t="inlineStr">
        <is>
          <t>unified</t>
        </is>
      </c>
      <c r="E3" s="23" t="n">
        <v>2</v>
      </c>
      <c r="F3" s="23" t="inlineStr">
        <is>
          <t>The weighbridge</t>
        </is>
      </c>
      <c r="G3" s="23" t="inlineStr">
        <is>
          <t>map_d02</t>
        </is>
      </c>
      <c r="H3" s="23" t="n"/>
      <c r="I3" s="23" t="inlineStr">
        <is>
          <t>u_waldrada</t>
        </is>
      </c>
      <c r="J3" s="23" t="n"/>
      <c r="K3" s="24" t="inlineStr">
        <is>
          <t>grim</t>
        </is>
      </c>
      <c r="L3" s="24" t="inlineStr">
        <is>
          <t>green levies</t>
        </is>
      </c>
    </row>
    <row r="4" ht="15" customHeight="1" s="18">
      <c r="A4" s="23" t="inlineStr">
        <is>
          <t>ch_d03</t>
        </is>
      </c>
      <c r="B4" s="23" t="inlineStr">
        <is>
          <t>1</t>
        </is>
      </c>
      <c r="C4" s="23" t="inlineStr">
        <is>
          <t>diadem</t>
        </is>
      </c>
      <c r="D4" s="23" t="inlineStr">
        <is>
          <t>unified</t>
        </is>
      </c>
      <c r="E4" s="23" t="n">
        <v>3</v>
      </c>
      <c r="F4" s="23" t="inlineStr">
        <is>
          <t>The grain road</t>
        </is>
      </c>
      <c r="G4" s="23" t="inlineStr">
        <is>
          <t>map_d03</t>
        </is>
      </c>
      <c r="H4" s="23" t="n"/>
      <c r="I4" s="23" t="inlineStr">
        <is>
          <t>u_jost|u_tancred</t>
        </is>
      </c>
      <c r="J4" s="23" t="n"/>
      <c r="K4" s="24" t="inlineStr">
        <is>
          <t>grim</t>
        </is>
      </c>
      <c r="L4" s="24" t="inlineStr">
        <is>
          <t>escort + cargo</t>
        </is>
      </c>
    </row>
    <row r="5" ht="15" customHeight="1" s="18">
      <c r="A5" s="23" t="inlineStr">
        <is>
          <t>ch_a01</t>
        </is>
      </c>
      <c r="B5" s="23" t="inlineStr">
        <is>
          <t>1</t>
        </is>
      </c>
      <c r="C5" s="23" t="inlineStr">
        <is>
          <t>assembly</t>
        </is>
      </c>
      <c r="D5" s="23" t="inlineStr">
        <is>
          <t>unified</t>
        </is>
      </c>
      <c r="E5" s="23" t="n">
        <v>1</v>
      </c>
      <c r="F5" s="23" t="inlineStr">
        <is>
          <t>The winter dole</t>
        </is>
      </c>
      <c r="G5" s="23" t="inlineStr">
        <is>
          <t>map_a01</t>
        </is>
      </c>
      <c r="H5" s="23" t="n"/>
      <c r="I5" s="23" t="inlineStr">
        <is>
          <t>u_maren|u_brandt</t>
        </is>
      </c>
      <c r="J5" s="23" t="n"/>
      <c r="K5" s="24" t="inlineStr">
        <is>
          <t>warm</t>
        </is>
      </c>
      <c r="L5" s="24" t="inlineStr">
        <is>
          <t>terrain hazard</t>
        </is>
      </c>
    </row>
    <row r="6" ht="15" customHeight="1" s="18">
      <c r="A6" s="23" t="inlineStr">
        <is>
          <t>ch_a02</t>
        </is>
      </c>
      <c r="B6" s="23" t="inlineStr">
        <is>
          <t>1</t>
        </is>
      </c>
      <c r="C6" s="23" t="inlineStr">
        <is>
          <t>assembly</t>
        </is>
      </c>
      <c r="D6" s="23" t="inlineStr">
        <is>
          <t>unified</t>
        </is>
      </c>
      <c r="E6" s="23" t="n">
        <v>2</v>
      </c>
      <c r="F6" s="23" t="inlineStr">
        <is>
          <t>The still night</t>
        </is>
      </c>
      <c r="G6" s="23" t="inlineStr">
        <is>
          <t>map_a02</t>
        </is>
      </c>
      <c r="H6" s="23" t="n"/>
      <c r="I6" s="23" t="inlineStr">
        <is>
          <t>u_solveig|u_gunnar|u_edda</t>
        </is>
      </c>
      <c r="J6" s="23" t="inlineStr">
        <is>
          <t>jailed preacher is an Act 2 hook</t>
        </is>
      </c>
      <c r="K6" s="24" t="inlineStr">
        <is>
          <t>warm</t>
        </is>
      </c>
      <c r="L6" s="24" t="inlineStr">
        <is>
          <t>talk / capture / disperse</t>
        </is>
      </c>
    </row>
    <row r="7" ht="15" customHeight="1" s="18">
      <c r="A7" s="23" t="inlineStr">
        <is>
          <t>ch_a03</t>
        </is>
      </c>
      <c r="B7" s="23" t="inlineStr">
        <is>
          <t>1</t>
        </is>
      </c>
      <c r="C7" s="23" t="inlineStr">
        <is>
          <t>assembly</t>
        </is>
      </c>
      <c r="D7" s="23" t="inlineStr">
        <is>
          <t>unified</t>
        </is>
      </c>
      <c r="E7" s="23" t="n">
        <v>3</v>
      </c>
      <c r="F7" s="23" t="inlineStr">
        <is>
          <t>The chapterhouse</t>
        </is>
      </c>
      <c r="G7" s="23" t="inlineStr">
        <is>
          <t>map_a03</t>
        </is>
      </c>
      <c r="H7" s="23" t="n"/>
      <c r="I7" s="23" t="inlineStr">
        <is>
          <t>u_anselm</t>
        </is>
      </c>
      <c r="J7" s="23" t="inlineStr">
        <is>
          <t>Torvald force-deployed</t>
        </is>
      </c>
      <c r="K7" s="24" t="inlineStr">
        <is>
          <t>desolate</t>
        </is>
      </c>
      <c r="L7" s="24" t="inlineStr">
        <is>
          <t>reinforcement pressure</t>
        </is>
      </c>
    </row>
    <row r="8" ht="23.25" customHeight="1" s="18">
      <c r="A8" s="23" t="inlineStr">
        <is>
          <t>ch_x11</t>
        </is>
      </c>
      <c r="B8" s="23" t="inlineStr">
        <is>
          <t>2</t>
        </is>
      </c>
      <c r="C8" s="23" t="inlineStr">
        <is>
          <t>both</t>
        </is>
      </c>
      <c r="D8" s="23" t="inlineStr">
        <is>
          <t>unified</t>
        </is>
      </c>
      <c r="E8" s="23" t="n">
        <v>11</v>
      </c>
      <c r="F8" s="23" t="inlineStr">
        <is>
          <t>The Second Writ</t>
        </is>
      </c>
      <c r="G8" s="23" t="inlineStr">
        <is>
          <t>map_x11</t>
        </is>
      </c>
      <c r="H8" s="23" t="n"/>
      <c r="I8" s="23" t="n"/>
      <c r="J8" s="23" t="inlineStr">
        <is>
          <t>commission split; surveyor revealed as auditor; deputy named off the epithet ledger</t>
        </is>
      </c>
      <c r="K8" s="24" t="inlineStr">
        <is>
          <t>triumphal</t>
        </is>
      </c>
      <c r="L8" s="24" t="inlineStr">
        <is>
          <t>the commission split</t>
        </is>
      </c>
    </row>
    <row r="9" ht="15" customHeight="1" s="18">
      <c r="A9" s="23" t="inlineStr">
        <is>
          <t>ch_b15</t>
        </is>
      </c>
      <c r="B9" s="23" t="inlineStr">
        <is>
          <t>2</t>
        </is>
      </c>
      <c r="C9" s="23" t="inlineStr">
        <is>
          <t>both</t>
        </is>
      </c>
      <c r="D9" s="23" t="inlineStr">
        <is>
          <t>B</t>
        </is>
      </c>
      <c r="E9" s="23" t="n">
        <v>15</v>
      </c>
      <c r="F9" s="23" t="inlineStr">
        <is>
          <t>The going rate</t>
        </is>
      </c>
      <c r="G9" s="23" t="inlineStr">
        <is>
          <t>map_b15</t>
        </is>
      </c>
      <c r="H9" s="23" t="inlineStr">
        <is>
          <t>sect_road</t>
        </is>
      </c>
      <c r="I9" s="23" t="n"/>
      <c r="J9" s="23" t="inlineStr">
        <is>
          <t>diadem buys grain, assembly buys medicine</t>
        </is>
      </c>
      <c r="K9" s="24" t="inlineStr">
        <is>
          <t>warm</t>
        </is>
      </c>
      <c r="L9" s="24" t="inlineStr">
        <is>
          <t>purchase objective</t>
        </is>
      </c>
    </row>
    <row r="10" ht="23.25" customHeight="1" s="18">
      <c r="A10" s="23" t="inlineStr">
        <is>
          <t>ch_d05</t>
        </is>
      </c>
      <c r="B10" s="23" t="inlineStr">
        <is>
          <t>1</t>
        </is>
      </c>
      <c r="C10" s="23" t="inlineStr">
        <is>
          <t>diadem</t>
        </is>
      </c>
      <c r="D10" s="23" t="inlineStr">
        <is>
          <t>unified</t>
        </is>
      </c>
      <c r="E10" s="23" t="n">
        <v>5</v>
      </c>
      <c r="F10" s="23" t="inlineStr">
        <is>
          <t>The grain fleet</t>
        </is>
      </c>
      <c r="G10" s="23" t="inlineStr">
        <is>
          <t>map_d05</t>
        </is>
      </c>
      <c r="H10" s="23" t="n"/>
      <c r="I10" s="23" t="n"/>
      <c r="J10" s="23" t="inlineStr">
        <is>
          <t>voyage to the Green Ports; the Diadem is the sea power and this is where that shows</t>
        </is>
      </c>
      <c r="K10" s="23" t="inlineStr">
        <is>
          <t>wondrous</t>
        </is>
      </c>
      <c r="L10" s="23" t="inlineStr">
        <is>
          <t>boarding / grapple-dens</t>
        </is>
      </c>
    </row>
    <row r="11" ht="15" customHeight="1" s="18">
      <c r="A11" s="23" t="inlineStr">
        <is>
          <t>ch_f00</t>
        </is>
      </c>
      <c r="B11" s="23" t="inlineStr">
        <is>
          <t>prologue</t>
        </is>
      </c>
      <c r="C11" s="23" t="inlineStr">
        <is>
          <t>both</t>
        </is>
      </c>
      <c r="D11" s="23" t="inlineStr">
        <is>
          <t>unified</t>
        </is>
      </c>
      <c r="E11" s="23" t="n">
        <v>0</v>
      </c>
      <c r="F11" s="23" t="inlineStr">
        <is>
          <t>Ur-Nashet, the last night</t>
        </is>
      </c>
      <c r="G11" s="23" t="inlineStr">
        <is>
          <t>map_f00</t>
        </is>
      </c>
      <c r="H11" s="23" t="n"/>
      <c r="I11" s="23" t="n"/>
      <c r="J11" s="23" t="inlineStr">
        <is>
          <t>800 years early, in a city that no longer exists. The player performs the founding crime before knowing it is one.</t>
        </is>
      </c>
      <c r="K11" s="23" t="inlineStr">
        <is>
          <t>wondrous</t>
        </is>
      </c>
      <c r="L11" s="23" t="inlineStr">
        <is>
          <t>movement, terrain cost, weapon triangle</t>
        </is>
      </c>
    </row>
    <row r="12">
      <c r="A12" s="23" t="inlineStr">
        <is>
          <t>ch_v21</t>
        </is>
      </c>
      <c r="B12" s="23" t="inlineStr">
        <is>
          <t>2</t>
        </is>
      </c>
      <c r="C12" s="23" t="inlineStr">
        <is>
          <t>diadem</t>
        </is>
      </c>
      <c r="D12" s="23" t="inlineStr">
        <is>
          <t>unified</t>
        </is>
      </c>
      <c r="E12" s="23" t="n">
        <v>12</v>
      </c>
      <c r="F12" s="23" t="inlineStr">
        <is>
          <t>The Unstained Seat</t>
        </is>
      </c>
      <c r="G12" s="23" t="inlineStr">
        <is>
          <t>map_v21</t>
        </is>
      </c>
      <c r="H12" s="23" t="inlineStr">
        <is>
          <t>sect_vashti</t>
        </is>
      </c>
      <c r="I12" s="23" t="n"/>
      <c r="J12" s="23" t="inlineStr">
        <is>
          <t>sect_vashti's own notes: 'no talk conversations available on their seat map' -- combat only, no dialogue resolution, grounded directly in that line. Seat is 'Vashti, in the Ashland' per sects.sect_vashti.seat.</t>
        </is>
      </c>
      <c r="K12" s="24" t="inlineStr">
        <is>
          <t>grim</t>
        </is>
      </c>
      <c r="L12" s="24" t="inlineStr">
        <is>
          <t>no-talk chapters</t>
        </is>
      </c>
    </row>
    <row r="13">
      <c r="A13" s="23" t="inlineStr">
        <is>
          <t>ch_v22</t>
        </is>
      </c>
      <c r="B13" s="23" t="inlineStr">
        <is>
          <t>2</t>
        </is>
      </c>
      <c r="C13" s="23" t="inlineStr">
        <is>
          <t>diadem</t>
        </is>
      </c>
      <c r="D13" s="23" t="inlineStr">
        <is>
          <t>unified</t>
        </is>
      </c>
      <c r="E13" s="23" t="n">
        <v>13</v>
      </c>
      <c r="F13" s="23" t="inlineStr">
        <is>
          <t>Re-Made Clean</t>
        </is>
      </c>
      <c r="G13" s="23" t="inlineStr">
        <is>
          <t>map_v22</t>
        </is>
      </c>
      <c r="H13" s="23" t="inlineStr">
        <is>
          <t>sect_vashti</t>
        </is>
      </c>
      <c r="I13" s="23" t="n"/>
      <c r="J13" s="23" t="inlineStr">
        <is>
          <t>sect_vashti's doctrine: 'sacraments from complicit hands are void; the veneration must be re-made clean' -- a re-consecration under threat, hence a defend shape.</t>
        </is>
      </c>
      <c r="K13" s="24" t="inlineStr">
        <is>
          <t>solemn</t>
        </is>
      </c>
      <c r="L13" s="24" t="inlineStr">
        <is>
          <t>ritual defense</t>
        </is>
      </c>
    </row>
    <row r="14">
      <c r="A14" s="23" t="inlineStr">
        <is>
          <t>ch_c21</t>
        </is>
      </c>
      <c r="B14" s="23" t="inlineStr">
        <is>
          <t>2</t>
        </is>
      </c>
      <c r="C14" s="23" t="inlineStr">
        <is>
          <t>both</t>
        </is>
      </c>
      <c r="D14" s="23" t="inlineStr">
        <is>
          <t>unified</t>
        </is>
      </c>
      <c r="E14" s="23" t="n">
        <v>14</v>
      </c>
      <c r="F14" s="23" t="inlineStr">
        <is>
          <t>The Vetch Reunion</t>
        </is>
      </c>
      <c r="G14" s="23" t="inlineStr">
        <is>
          <t>map_c21</t>
        </is>
      </c>
      <c r="H14" s="23" t="inlineStr">
        <is>
          <t>sect_court</t>
        </is>
      </c>
      <c r="I14" s="23" t="n"/>
      <c r="J14" s="23" t="inlineStr">
        <is>
          <t>sect_court's own notes: 'grows the Grand Inquisitor; home-front thread, ambushes at reunion' -- taken directly. Vetch is sect_court's alternate seat name.</t>
        </is>
      </c>
      <c r="K14" s="24" t="inlineStr">
        <is>
          <t>tense</t>
        </is>
      </c>
      <c r="L14" s="24" t="inlineStr">
        <is>
          <t>home-front ambush</t>
        </is>
      </c>
    </row>
    <row r="15">
      <c r="A15" s="23" t="inlineStr">
        <is>
          <t>ch_m21</t>
        </is>
      </c>
      <c r="B15" s="23" t="inlineStr">
        <is>
          <t>2</t>
        </is>
      </c>
      <c r="C15" s="23" t="inlineStr">
        <is>
          <t>assembly</t>
        </is>
      </c>
      <c r="D15" s="23" t="inlineStr">
        <is>
          <t>unified</t>
        </is>
      </c>
      <c r="E15" s="23" t="n">
        <v>16</v>
      </c>
      <c r="F15" s="23" t="inlineStr">
        <is>
          <t>The Drowned March</t>
        </is>
      </c>
      <c r="G15" s="23" t="inlineStr">
        <is>
          <t>map_m21</t>
        </is>
      </c>
      <c r="H15" s="23" t="inlineStr">
        <is>
          <t>sect_march</t>
        </is>
      </c>
      <c r="I15" s="23" t="n"/>
      <c r="J15" s="23" t="inlineStr">
        <is>
          <t>Chapter title is sect_march's own seat name verbatim ('the Drowned March'). Doctrine notes: 'new scripture is still arriving, dictated, in progress -- chapters can be added between the player's Act 2 visits' and 'Prophecy NPCs convert green levies' -- the latter reuses the same conversion mechanic already flagged as unmodeled at map_a02/map_b15, not a new system.</t>
        </is>
      </c>
      <c r="K15" s="24" t="inlineStr">
        <is>
          <t>eerie</t>
        </is>
      </c>
      <c r="L15" s="24" t="inlineStr">
        <is>
          <t>ongoing prophecy pressure</t>
        </is>
      </c>
    </row>
    <row r="16">
      <c r="A16" s="23" t="inlineStr">
        <is>
          <t>ch_m22</t>
        </is>
      </c>
      <c r="B16" s="23" t="inlineStr">
        <is>
          <t>2</t>
        </is>
      </c>
      <c r="C16" s="23" t="inlineStr">
        <is>
          <t>assembly</t>
        </is>
      </c>
      <c r="D16" s="23" t="inlineStr">
        <is>
          <t>unified</t>
        </is>
      </c>
      <c r="E16" s="23" t="n">
        <v>17</v>
      </c>
      <c r="F16" s="23" t="inlineStr">
        <is>
          <t>The Same Archive</t>
        </is>
      </c>
      <c r="G16" s="23" t="inlineStr">
        <is>
          <t>map_m22</t>
        </is>
      </c>
      <c r="H16" s="23" t="inlineStr">
        <is>
          <t>sect_march</t>
        </is>
      </c>
      <c r="I16" s="23" t="n"/>
      <c r="J16" s="23" t="inlineStr">
        <is>
          <t>sect_march's notes: 'rebaptising the dead by name off the parish lists... puts the prophets and the crown's clerks in the same archive for opposite reasons' -- taken directly, a defend-the-archive shape.</t>
        </is>
      </c>
      <c r="K16" s="24" t="inlineStr">
        <is>
          <t>uneasy</t>
        </is>
      </c>
      <c r="L16" s="24" t="inlineStr">
        <is>
          <t>archive standoff</t>
        </is>
      </c>
    </row>
    <row r="17">
      <c r="A17" s="23" t="inlineStr">
        <is>
          <t>ch_r16</t>
        </is>
      </c>
      <c r="B17" s="23" t="inlineStr">
        <is>
          <t>2</t>
        </is>
      </c>
      <c r="C17" s="23" t="inlineStr">
        <is>
          <t>both</t>
        </is>
      </c>
      <c r="D17" s="23" t="inlineStr">
        <is>
          <t>unified</t>
        </is>
      </c>
      <c r="E17" s="23" t="n">
        <v>18</v>
      </c>
      <c r="F17" s="23" t="inlineStr">
        <is>
          <t>The Toll League</t>
        </is>
      </c>
      <c r="G17" s="23" t="inlineStr">
        <is>
          <t>map_r16</t>
        </is>
      </c>
      <c r="H17" s="23" t="inlineStr">
        <is>
          <t>sect_road</t>
        </is>
      </c>
      <c r="I17" s="23" t="n"/>
      <c r="J17" s="23" t="inlineStr">
        <is>
          <t>sect_road's own sovereign seat ('the Toll League'). Doctrine: 'redemption is a purchase word -- to redeem is to buy back' -- reuses the same 'purchase' objective_verb map_b15 already established for this sect, rather than inventing a different one for their second chapter.</t>
        </is>
      </c>
      <c r="K17" s="24" t="inlineStr">
        <is>
          <t>warm</t>
        </is>
      </c>
      <c r="L17" s="24" t="inlineStr">
        <is>
          <t>redemption-as-purchase</t>
        </is>
      </c>
    </row>
    <row r="18">
      <c r="A18" s="23" t="inlineStr">
        <is>
          <t>ch_e31</t>
        </is>
      </c>
      <c r="B18" s="23" t="inlineStr">
        <is>
          <t>3</t>
        </is>
      </c>
      <c r="C18" s="23" t="inlineStr">
        <is>
          <t>both</t>
        </is>
      </c>
      <c r="D18" s="23" t="inlineStr">
        <is>
          <t>unified</t>
        </is>
      </c>
      <c r="E18" s="23" t="n">
        <v>31</v>
      </c>
      <c r="F18" s="23" t="inlineStr">
        <is>
          <t>The Ledger Comes Due</t>
        </is>
      </c>
      <c r="G18" s="23" t="inlineStr">
        <is>
          <t>map_e31</t>
        </is>
      </c>
      <c r="H18" s="23" t="inlineStr">
        <is>
          <t>sect_road</t>
        </is>
      </c>
      <c r="I18" s="23" t="n"/>
      <c r="J18" s="23" t="inlineStr">
        <is>
          <t>Buildup chapter for the Enlightened One fork -- ties to ascension_signals (sig_forge_use, sig_defection_handling, etc.), the hidden telemetry that later decides end_sanctified vs. end_perverse. Doesn't resolve which way it tips; that's runtime state, not authored here.</t>
        </is>
      </c>
      <c r="K18" s="24" t="inlineStr">
        <is>
          <t>tense</t>
        </is>
      </c>
      <c r="L18" s="24" t="inlineStr">
        <is>
          <t>consequences accumulate</t>
        </is>
      </c>
    </row>
    <row r="19">
      <c r="A19" s="23" t="inlineStr">
        <is>
          <t>ch_e32_sanctified</t>
        </is>
      </c>
      <c r="B19" s="23" t="inlineStr">
        <is>
          <t>3</t>
        </is>
      </c>
      <c r="C19" s="23" t="inlineStr">
        <is>
          <t>both</t>
        </is>
      </c>
      <c r="D19" s="23" t="inlineStr">
        <is>
          <t>unified</t>
        </is>
      </c>
      <c r="E19" s="23" t="n">
        <v>32</v>
      </c>
      <c r="F19" s="23" t="inlineStr">
        <is>
          <t>Sanctification</t>
        </is>
      </c>
      <c r="G19" s="23" t="inlineStr">
        <is>
          <t>map_e32_sanctified</t>
        </is>
      </c>
      <c r="H19" s="23" t="inlineStr">
        <is>
          <t>sect_road</t>
        </is>
      </c>
      <c r="I19" s="23" t="n"/>
      <c r="J19" s="23" t="inlineStr">
        <is>
          <t>end_sanctified terminal (endings tab, trigger: hidden telemetry threshold MET). Per that row: 'NOT a boss fight against him. The party fights the deposed patrons of the Hundred Cities -- the full Lesser Key roster... as they resist being absorbed.' Mutually exclusive with ch_e32_perverse -- same slot (act 3, number 32), only one fires per playthrough.</t>
        </is>
      </c>
      <c r="K19" s="24" t="inlineStr">
        <is>
          <t>ambivalent</t>
        </is>
      </c>
      <c r="L19" s="24" t="inlineStr">
        <is>
          <t>the good ending still costs something</t>
        </is>
      </c>
    </row>
    <row r="20">
      <c r="A20" s="23" t="inlineStr">
        <is>
          <t>ch_e32_perverse</t>
        </is>
      </c>
      <c r="B20" s="23" t="inlineStr">
        <is>
          <t>3</t>
        </is>
      </c>
      <c r="C20" s="23" t="inlineStr">
        <is>
          <t>both</t>
        </is>
      </c>
      <c r="D20" s="23" t="inlineStr">
        <is>
          <t>unified</t>
        </is>
      </c>
      <c r="E20" s="23" t="n">
        <v>32</v>
      </c>
      <c r="F20" s="23" t="inlineStr">
        <is>
          <t>The Idol</t>
        </is>
      </c>
      <c r="G20" s="23" t="inlineStr">
        <is>
          <t>map_e32_perverse</t>
        </is>
      </c>
      <c r="H20" s="23" t="inlineStr">
        <is>
          <t>sect_road</t>
        </is>
      </c>
      <c r="I20" s="23" t="n"/>
      <c r="J20" s="23" t="inlineStr">
        <is>
          <t>end_perverse terminal (endings tab, trigger: hidden telemetry threshold NOT met). Per that row: 'the party fights HIM directly. VISUAL CONVERGENCE WITH THE IDOL, deliberate.' Mutually exclusive with ch_e32_sanctified -- same slot, only one fires per playthrough.</t>
        </is>
      </c>
      <c r="K20" s="24" t="inlineStr">
        <is>
          <t>grim</t>
        </is>
      </c>
      <c r="L20" s="24" t="inlineStr">
        <is>
          <t>false godhood, assembled not born</t>
        </is>
      </c>
    </row>
    <row r="21">
      <c r="A21" s="23" t="inlineStr">
        <is>
          <t>ch_h31</t>
        </is>
      </c>
      <c r="B21" s="23" t="inlineStr">
        <is>
          <t>3</t>
        </is>
      </c>
      <c r="C21" s="23" t="inlineStr">
        <is>
          <t>both</t>
        </is>
      </c>
      <c r="D21" s="23" t="inlineStr">
        <is>
          <t>unified</t>
        </is>
      </c>
      <c r="E21" s="23" t="n">
        <v>31</v>
      </c>
      <c r="F21" s="23" t="inlineStr">
        <is>
          <t>The Capture</t>
        </is>
      </c>
      <c r="G21" s="23" t="inlineStr">
        <is>
          <t>map_h31</t>
        </is>
      </c>
      <c r="H21" s="23" t="inlineStr">
        <is>
          <t>sect_march</t>
        </is>
      </c>
      <c r="I21" s="23" t="n"/>
      <c r="J21" s="23" t="inlineStr">
        <is>
          <t>end_hierophant's shared lead-up (endings tab): 'the defense scenario ends in capture, not a kill.' sect_id resolved to sect_march (RESOLVED 2026-09-23, see the_hierophant tab).</t>
        </is>
      </c>
      <c r="K21" s="24" t="inlineStr">
        <is>
          <t>grim</t>
        </is>
      </c>
      <c r="L21" s="24" t="inlineStr">
        <is>
          <t>conquest, not villainy</t>
        </is>
      </c>
    </row>
    <row r="22">
      <c r="A22" s="23" t="inlineStr">
        <is>
          <t>ch_h32</t>
        </is>
      </c>
      <c r="B22" s="23" t="inlineStr">
        <is>
          <t>3</t>
        </is>
      </c>
      <c r="C22" s="23" t="inlineStr">
        <is>
          <t>both</t>
        </is>
      </c>
      <c r="D22" s="23" t="inlineStr">
        <is>
          <t>unified</t>
        </is>
      </c>
      <c r="E22" s="23" t="n">
        <v>32</v>
      </c>
      <c r="F22" s="23" t="inlineStr">
        <is>
          <t>The Kaisareia Trial</t>
        </is>
      </c>
      <c r="G22" s="23" t="n"/>
      <c r="H22" s="23" t="inlineStr">
        <is>
          <t>sect_march</t>
        </is>
      </c>
      <c r="I22" s="23" t="n"/>
      <c r="J22" s="23" t="inlineStr">
        <is>
          <t>Deliberately NO MAP -- endings.end_hierophant is explicit that this is processed through the same systemic machine as everything else ('the same machine that produces deputies off the epithet ledger now processes the largest moral choice in the game, not a special cutscene outside the system'), not a battle. Forks into ch_h33_mercy or the ch_h34_war_* chapters depending on the player's sentence recommendation. sect_id resolved to sect_march, see ch_h31 and the_hierophant tab.</t>
        </is>
      </c>
      <c r="K22" s="24" t="inlineStr">
        <is>
          <t>solemn</t>
        </is>
      </c>
      <c r="L22" s="24" t="inlineStr">
        <is>
          <t>the trial IS the system</t>
        </is>
      </c>
    </row>
    <row r="23">
      <c r="A23" s="23" t="inlineStr">
        <is>
          <t>ch_h33_mercy</t>
        </is>
      </c>
      <c r="B23" s="23" t="inlineStr">
        <is>
          <t>3</t>
        </is>
      </c>
      <c r="C23" s="23" t="inlineStr">
        <is>
          <t>both</t>
        </is>
      </c>
      <c r="D23" s="23" t="inlineStr">
        <is>
          <t>unified</t>
        </is>
      </c>
      <c r="E23" s="23" t="n">
        <v>33</v>
      </c>
      <c r="F23" s="23" t="inlineStr">
        <is>
          <t>Subterfuge</t>
        </is>
      </c>
      <c r="G23" s="23" t="inlineStr">
        <is>
          <t>map_h33_mercy</t>
        </is>
      </c>
      <c r="H23" s="23" t="inlineStr">
        <is>
          <t>sect_march</t>
        </is>
      </c>
      <c r="I23" s="23" t="n"/>
      <c r="J23" s="23" t="inlineStr">
        <is>
          <t>end_hierophant_mercy terminal: 'the movement goes underground and finishes what got interrupted -- A SECOND, LATER BATTLE... deliberately convergent iconography with end_perverse and the Idol.' sect_id resolved to sect_march, see ch_h31 and the_hierophant tab.</t>
        </is>
      </c>
      <c r="K23" s="24" t="inlineStr">
        <is>
          <t>uneasy</t>
        </is>
      </c>
      <c r="L23" s="24" t="inlineStr">
        <is>
          <t>mercy has a bill too</t>
        </is>
      </c>
    </row>
    <row r="24">
      <c r="A24" s="23" t="inlineStr">
        <is>
          <t>ch_h34_war1</t>
        </is>
      </c>
      <c r="B24" s="23" t="inlineStr">
        <is>
          <t>3</t>
        </is>
      </c>
      <c r="C24" s="23" t="inlineStr">
        <is>
          <t>both</t>
        </is>
      </c>
      <c r="D24" s="23" t="inlineStr">
        <is>
          <t>unified</t>
        </is>
      </c>
      <c r="E24" s="23" t="n">
        <v>34</v>
      </c>
      <c r="F24" s="23" t="inlineStr">
        <is>
          <t>The War: First Front</t>
        </is>
      </c>
      <c r="G24" s="23" t="inlineStr">
        <is>
          <t>map_h34_war1</t>
        </is>
      </c>
      <c r="H24" s="23" t="inlineStr">
        <is>
          <t>sect_march</t>
        </is>
      </c>
      <c r="I24" s="23" t="n"/>
      <c r="J24" s="23" t="inlineStr">
        <is>
          <t>end_hierophant_execution terminal: 'not one climactic fight -- several chapters of costly, attritional maps against regions and sects that were allied or neutral an act ago, now fractured.' 'Several' isn't a specific count in that text -- 3 chapters (war1/2/3) is this pass's own invented number, not sourced. sect_id resolved to sect_march, see ch_h31 and the_hierophant tab.</t>
        </is>
      </c>
      <c r="K24" s="24" t="inlineStr">
        <is>
          <t>desolate</t>
        </is>
      </c>
      <c r="L24" s="24" t="inlineStr">
        <is>
          <t>attrition, not spectacle</t>
        </is>
      </c>
    </row>
    <row r="25">
      <c r="A25" s="23" t="inlineStr">
        <is>
          <t>ch_h34_war2</t>
        </is>
      </c>
      <c r="B25" s="23" t="inlineStr">
        <is>
          <t>3</t>
        </is>
      </c>
      <c r="C25" s="23" t="inlineStr">
        <is>
          <t>both</t>
        </is>
      </c>
      <c r="D25" s="23" t="inlineStr">
        <is>
          <t>unified</t>
        </is>
      </c>
      <c r="E25" s="23" t="n">
        <v>35</v>
      </c>
      <c r="F25" s="23" t="inlineStr">
        <is>
          <t>The War: Second Front</t>
        </is>
      </c>
      <c r="G25" s="23" t="inlineStr">
        <is>
          <t>map_h34_war2</t>
        </is>
      </c>
      <c r="H25" s="23" t="inlineStr">
        <is>
          <t>sect_march</t>
        </is>
      </c>
      <c r="I25" s="23" t="n"/>
      <c r="J25" s="23" t="inlineStr">
        <is>
          <t>Second of the invented 3-chapter War arc -- see ch_h34_war1's note.</t>
        </is>
      </c>
      <c r="K25" s="24" t="inlineStr">
        <is>
          <t>desolate</t>
        </is>
      </c>
      <c r="L25" s="24" t="inlineStr">
        <is>
          <t>the front keeps moving, there's no fixed line to hold</t>
        </is>
      </c>
    </row>
    <row r="26">
      <c r="A26" s="23" t="inlineStr">
        <is>
          <t>ch_h34_war3</t>
        </is>
      </c>
      <c r="B26" s="23" t="inlineStr">
        <is>
          <t>3</t>
        </is>
      </c>
      <c r="C26" s="23" t="inlineStr">
        <is>
          <t>both</t>
        </is>
      </c>
      <c r="D26" s="23" t="inlineStr">
        <is>
          <t>unified</t>
        </is>
      </c>
      <c r="E26" s="23" t="n">
        <v>36</v>
      </c>
      <c r="F26" s="23" t="inlineStr">
        <is>
          <t>The War: Reckoning</t>
        </is>
      </c>
      <c r="G26" s="23" t="inlineStr">
        <is>
          <t>map_h34_war3</t>
        </is>
      </c>
      <c r="H26" s="23" t="inlineStr">
        <is>
          <t>sect_march</t>
        </is>
      </c>
      <c r="I26" s="23" t="n"/>
      <c r="J26" s="23" t="inlineStr">
        <is>
          <t>Third and final of the invented 3-chapter War arc -- see ch_h34_war1's note. Closes the execution branch.</t>
        </is>
      </c>
      <c r="K26" s="24" t="inlineStr">
        <is>
          <t>grim</t>
        </is>
      </c>
      <c r="L26" s="24" t="inlineStr">
        <is>
          <t>the cost lands on the world</t>
        </is>
      </c>
    </row>
    <row r="27">
      <c r="A27" s="23" t="inlineStr">
        <is>
          <t>ch_p_macuil</t>
        </is>
      </c>
      <c r="B27" s="23" t="inlineStr">
        <is>
          <t>paralogue</t>
        </is>
      </c>
      <c r="C27" s="23" t="inlineStr">
        <is>
          <t>both</t>
        </is>
      </c>
      <c r="D27" s="23" t="inlineStr">
        <is>
          <t>unified</t>
        </is>
      </c>
      <c r="E27" s="23" t="n">
        <v>90</v>
      </c>
      <c r="F27" s="23" t="inlineStr">
        <is>
          <t>The North Wind Winds</t>
        </is>
      </c>
      <c r="G27" s="23" t="inlineStr">
        <is>
          <t>map_p_macuil</t>
        </is>
      </c>
      <c r="H27" s="23" t="inlineStr">
        <is>
          <t>sect_coast</t>
        </is>
      </c>
      <c r="I27" s="23" t="n"/>
      <c r="J27" s="23" t="inlineStr">
        <is>
          <t>npcs.npc_macuil: 'hermit saint... the north wind winds; paralogue capstone; refuses to adjudicate.' act1=no, act2=no, act3=yes on that row -- confirms this is act3-only content, not misplaced. sect_id RESOLVED to sect_coast (2026-09-23): regions.rgn_stepped_coast is explicitly claimed_by_sect_id=sect_coast, and its own texture ('three raised marine terraces, each a former shoreline, each with a ruined harbor at the wrong altitude'; sacred explanation 'the sea was driven back by an act of will' vs. material explanation 'the land rises on a schedule nobody is on', neither privileged) is a direct match for sect_coast's own doctrine ('renunciation; refuse to adjudicate') and for Macuil's own 'refuses to adjudicate' almost word for word. sects.sect_coast's own notes ('unreachable by writ; paralogue-only, dark in some runs') are why this is the ONLY paralogue for this sect -- act2_chapter_count=0 is deliberate (validation's own v11 check names the Stepped Coast as the one legal zero-chapter case). ch_p_indech was checked for the same connection and found to have none -- no region claimed_by sect_coast matches 'his lake, fisher cult', so its sect_id stays null; only Macuil's paralogue is sect_coast's.</t>
        </is>
      </c>
      <c r="K27" s="24" t="inlineStr">
        <is>
          <t>elegiac</t>
        </is>
      </c>
      <c r="L27" s="24" t="inlineStr">
        <is>
          <t>a saint who will not judge</t>
        </is>
      </c>
    </row>
    <row r="28">
      <c r="A28" s="23" t="inlineStr">
        <is>
          <t>ch_p_indech</t>
        </is>
      </c>
      <c r="B28" s="23" t="inlineStr">
        <is>
          <t>paralogue</t>
        </is>
      </c>
      <c r="C28" s="23" t="inlineStr">
        <is>
          <t>both</t>
        </is>
      </c>
      <c r="D28" s="23" t="inlineStr">
        <is>
          <t>unified</t>
        </is>
      </c>
      <c r="E28" s="23" t="n">
        <v>91</v>
      </c>
      <c r="F28" s="23" t="inlineStr">
        <is>
          <t>His Lake</t>
        </is>
      </c>
      <c r="G28" s="23" t="inlineStr">
        <is>
          <t>map_p_indech</t>
        </is>
      </c>
      <c r="H28" s="23" t="n"/>
      <c r="I28" s="23" t="n"/>
      <c r="J28" s="23" t="inlineStr">
        <is>
          <t>npcs.npc_indech: 'hermit saint... his lake, fisher cult; paralogue capstone.' Same act1=no/act2=no/act3=yes confirmation as ch_p_macuil. CHECKED (2026-09-23) for a sect_coast connection while grounding ch_p_macuil -- found none. No region claimed_by sect_coast matches a lake/fisher cult (rgn_stepped_coast is coastal/tectonic, not a lake). sect_id stays null; this is a separate, still-ungrounded thread, not the same paralogue as Macuil's.</t>
        </is>
      </c>
      <c r="K28" s="24" t="inlineStr">
        <is>
          <t>wondrous</t>
        </is>
      </c>
      <c r="L28" s="24" t="inlineStr">
        <is>
          <t>a saint who will not judge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F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40" customWidth="1" style="17" min="3" max="3"/>
    <col width="16" customWidth="1" style="17" min="4" max="4"/>
    <col width="14" customWidth="1" style="17" min="5" max="5"/>
    <col width="18" customWidth="1" style="17" min="6" max="6"/>
  </cols>
  <sheetData>
    <row r="1" ht="30" customHeight="1" s="18">
      <c r="A1" s="21" t="inlineStr">
        <is>
          <t>epithet_id</t>
        </is>
      </c>
      <c r="B1" s="21" t="inlineStr">
        <is>
          <t>deed_category</t>
        </is>
      </c>
      <c r="C1" s="21" t="inlineStr">
        <is>
          <t>trigger</t>
        </is>
      </c>
      <c r="D1" s="21" t="inlineStr">
        <is>
          <t>telemetry_source</t>
        </is>
      </c>
      <c r="E1" s="21" t="inlineStr">
        <is>
          <t>gates_paragon</t>
        </is>
      </c>
      <c r="F1" s="21" t="inlineStr">
        <is>
          <t>forge_vocab_token</t>
        </is>
      </c>
    </row>
    <row r="2" ht="15" customHeight="1" s="18">
      <c r="A2" s="23" t="inlineStr">
        <is>
          <t>ep_bosskill</t>
        </is>
      </c>
      <c r="B2" s="23" t="inlineStr">
        <is>
          <t>boss_kill</t>
        </is>
      </c>
      <c r="C2" s="23" t="inlineStr">
        <is>
          <t>kills a named boss in single combat</t>
        </is>
      </c>
      <c r="D2" s="23" t="inlineStr">
        <is>
          <t>combat log</t>
        </is>
      </c>
      <c r="E2" s="23" t="inlineStr">
        <is>
          <t>yes</t>
        </is>
      </c>
      <c r="F2" s="23" t="inlineStr">
        <is>
          <t>Slayer of</t>
        </is>
      </c>
    </row>
    <row r="3" ht="15" customHeight="1" s="18">
      <c r="A3" s="23" t="inlineStr">
        <is>
          <t>ep_solohold</t>
        </is>
      </c>
      <c r="B3" s="23" t="inlineStr">
        <is>
          <t>solo_hold</t>
        </is>
      </c>
      <c r="C3" s="23" t="inlineStr">
        <is>
          <t>holds a choke alone for 3+ enemy phases</t>
        </is>
      </c>
      <c r="D3" s="23" t="inlineStr">
        <is>
          <t>position log</t>
        </is>
      </c>
      <c r="E3" s="23" t="inlineStr">
        <is>
          <t>yes</t>
        </is>
      </c>
      <c r="F3" s="23" t="inlineStr">
        <is>
          <t>of the Ford</t>
        </is>
      </c>
    </row>
    <row r="4" ht="15" customHeight="1" s="18">
      <c r="A4" s="23" t="inlineStr">
        <is>
          <t>ep_nohit</t>
        </is>
      </c>
      <c r="B4" s="23" t="inlineStr">
        <is>
          <t>no_hit_map</t>
        </is>
      </c>
      <c r="C4" s="23" t="inlineStr">
        <is>
          <t>clears a map without being struck</t>
        </is>
      </c>
      <c r="D4" s="23" t="inlineStr">
        <is>
          <t>combat log</t>
        </is>
      </c>
      <c r="E4" s="23" t="inlineStr">
        <is>
          <t>yes</t>
        </is>
      </c>
      <c r="F4" s="23" t="inlineStr">
        <is>
          <t>Untouched</t>
        </is>
      </c>
    </row>
    <row r="5" ht="15" customHeight="1" s="18">
      <c r="A5" s="23" t="inlineStr">
        <is>
          <t>ep_miasma</t>
        </is>
      </c>
      <c r="B5" s="23" t="inlineStr">
        <is>
          <t>miasma_walked</t>
        </is>
      </c>
      <c r="C5" s="23" t="inlineStr">
        <is>
          <t>ends turn on miasma tiles 5+ times</t>
        </is>
      </c>
      <c r="D5" s="23" t="inlineStr">
        <is>
          <t>terrain log</t>
        </is>
      </c>
      <c r="E5" s="23" t="inlineStr">
        <is>
          <t>no</t>
        </is>
      </c>
      <c r="F5" s="23" t="inlineStr">
        <is>
          <t>Ash-walker</t>
        </is>
      </c>
    </row>
    <row r="6" ht="15" customHeight="1" s="18">
      <c r="A6" s="23" t="inlineStr">
        <is>
          <t>ep_delivery</t>
        </is>
      </c>
      <c r="B6" s="23" t="inlineStr">
        <is>
          <t>delivery</t>
        </is>
      </c>
      <c r="C6" s="23" t="inlineStr">
        <is>
          <t>escorts a cargo unit to its goal</t>
        </is>
      </c>
      <c r="D6" s="23" t="inlineStr">
        <is>
          <t>objective log</t>
        </is>
      </c>
      <c r="E6" s="23" t="inlineStr">
        <is>
          <t>no</t>
        </is>
      </c>
      <c r="F6" s="23" t="inlineStr">
        <is>
          <t>Carter</t>
        </is>
      </c>
    </row>
    <row r="7" ht="15" customHeight="1" s="18">
      <c r="A7" s="23" t="inlineStr">
        <is>
          <t>ep_dispersal</t>
        </is>
      </c>
      <c r="B7" s="23" t="inlineStr">
        <is>
          <t>dispersal</t>
        </is>
      </c>
      <c r="C7" s="23" t="inlineStr">
        <is>
          <t>routs levies below half HP without killing</t>
        </is>
      </c>
      <c r="D7" s="23" t="inlineStr">
        <is>
          <t>combat log</t>
        </is>
      </c>
      <c r="E7" s="23" t="inlineStr">
        <is>
          <t>no</t>
        </is>
      </c>
      <c r="F7" s="23" t="inlineStr">
        <is>
          <t>Merciful</t>
        </is>
      </c>
    </row>
    <row r="8" ht="15" customHeight="1" s="18">
      <c r="A8" s="23" t="inlineStr">
        <is>
          <t>ep_talk</t>
        </is>
      </c>
      <c r="B8" s="23" t="inlineStr">
        <is>
          <t>talk</t>
        </is>
      </c>
      <c r="C8" s="23" t="inlineStr">
        <is>
          <t>resolves an enemy by conversation</t>
        </is>
      </c>
      <c r="D8" s="23" t="inlineStr">
        <is>
          <t>dialogue log</t>
        </is>
      </c>
      <c r="E8" s="23" t="inlineStr">
        <is>
          <t>no</t>
        </is>
      </c>
      <c r="F8" s="23" t="inlineStr">
        <is>
          <t>Peacemaker</t>
        </is>
      </c>
    </row>
    <row r="9" ht="15" customHeight="1" s="18">
      <c r="A9" s="23" t="inlineStr">
        <is>
          <t>ep_capture</t>
        </is>
      </c>
      <c r="B9" s="23" t="inlineStr">
        <is>
          <t>capture</t>
        </is>
      </c>
      <c r="C9" s="23" t="inlineStr">
        <is>
          <t>captures rather than kills 5+ times</t>
        </is>
      </c>
      <c r="D9" s="23" t="inlineStr">
        <is>
          <t>combat log</t>
        </is>
      </c>
      <c r="E9" s="23" t="inlineStr">
        <is>
          <t>yes</t>
        </is>
      </c>
      <c r="F9" s="23" t="inlineStr">
        <is>
          <t>Taker</t>
        </is>
      </c>
    </row>
    <row r="11" ht="15" customHeight="1" s="18">
      <c r="A11" s="25" t="inlineStr">
        <is>
          <t>Pure performance telemetry, no rubber-banding. Feeds Paragon gating, forge vocabulary, Venerated evidence, boss pre-battle screens, and the deputy selection.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C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17" min="1" max="1"/>
    <col width="10" customWidth="1" style="17" min="2" max="2"/>
    <col width="46" customWidth="1" style="17" min="3" max="3"/>
  </cols>
  <sheetData>
    <row r="1" ht="30" customHeight="1" s="18">
      <c r="A1" s="21" t="inlineStr">
        <is>
          <t>factor</t>
        </is>
      </c>
      <c r="B1" s="21" t="inlineStr">
        <is>
          <t>weight</t>
        </is>
      </c>
      <c r="C1" s="21" t="inlineStr">
        <is>
          <t>rationale</t>
        </is>
      </c>
    </row>
    <row r="2" ht="15" customHeight="1" s="18">
      <c r="A2" s="23" t="inlineStr">
        <is>
          <t>writ chapter deed</t>
        </is>
      </c>
      <c r="B2" s="27" t="n">
        <v>2</v>
      </c>
      <c r="C2" s="23" t="inlineStr">
        <is>
          <t>main-story chapters only</t>
        </is>
      </c>
    </row>
    <row r="3" ht="15" customHeight="1" s="18">
      <c r="A3" s="23" t="inlineStr">
        <is>
          <t>paralogue deed</t>
        </is>
      </c>
      <c r="B3" s="27" t="n">
        <v>0</v>
      </c>
      <c r="C3" s="23" t="inlineStr">
        <is>
          <t>unofficial work, off the books</t>
        </is>
      </c>
    </row>
    <row r="4" ht="15" customHeight="1" s="18">
      <c r="A4" s="23" t="inlineStr">
        <is>
          <t>on stated objective</t>
        </is>
      </c>
      <c r="B4" s="27" t="n">
        <v>1</v>
      </c>
      <c r="C4" s="23" t="inlineStr">
        <is>
          <t>counts toward the map's briefed goal</t>
        </is>
      </c>
    </row>
    <row r="5" ht="15" customHeight="1" s="18">
      <c r="A5" s="23" t="inlineStr">
        <is>
          <t>within 4 tiles of surveyor</t>
        </is>
      </c>
      <c r="B5" s="27" t="n">
        <v>1</v>
      </c>
      <c r="C5" s="23" t="inlineStr">
        <is>
          <t>witnessed by the auditor</t>
        </is>
      </c>
    </row>
    <row r="6" ht="15" customHeight="1" s="18">
      <c r="A6" s="23" t="inlineStr">
        <is>
          <t>unwitnessed kill</t>
        </is>
      </c>
      <c r="B6" s="27" t="n">
        <v>0</v>
      </c>
      <c r="C6" s="23" t="inlineStr">
        <is>
          <t>far-corner heroics do not appear in the report</t>
        </is>
      </c>
    </row>
    <row r="7" ht="15" customHeight="1" s="18">
      <c r="A7" s="23" t="inlineStr">
        <is>
          <t>delivery / hold / dispersal</t>
        </is>
      </c>
      <c r="B7" s="27" t="n">
        <v>1.5</v>
      </c>
      <c r="C7" s="23" t="inlineStr">
        <is>
          <t>legible categories outweigh kills</t>
        </is>
      </c>
    </row>
    <row r="8" ht="15" customHeight="1" s="18">
      <c r="A8" s="23" t="inlineStr">
        <is>
          <t>raw kill</t>
        </is>
      </c>
      <c r="B8" s="27" t="n">
        <v>0.5</v>
      </c>
      <c r="C8" s="23" t="inlineStr">
        <is>
          <t>hard to write down in a way that survives a clerk</t>
        </is>
      </c>
    </row>
    <row r="9" ht="15" customHeight="1" s="18">
      <c r="A9" s="23" t="inlineStr">
        <is>
          <t>revealed literacy (tiebreak)</t>
        </is>
      </c>
      <c r="B9" s="27" t="n">
        <v>0.25</v>
      </c>
      <c r="C9" s="23" t="inlineStr">
        <is>
          <t>Ricberta only, and only if a support revealed it</t>
        </is>
      </c>
    </row>
    <row r="11" ht="15" customHeight="1" s="18">
      <c r="A11" s="25" t="inlineStr">
        <is>
          <t>The crown picks the deputy off this. Player may contest once at the writ scene; the crown grants it and withholds Column B's supply attachment.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H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2" customWidth="1" style="17" min="2" max="2"/>
    <col width="14" customWidth="1" style="17" min="3" max="3"/>
    <col width="8" customWidth="1" style="17" min="4" max="6"/>
    <col width="15" customWidth="1" style="17" min="7" max="7"/>
    <col width="48" customWidth="1" style="17" min="8" max="8"/>
  </cols>
  <sheetData>
    <row r="1" ht="30" customHeight="1" s="18">
      <c r="A1" s="21" t="inlineStr">
        <is>
          <t>npc_id</t>
        </is>
      </c>
      <c r="B1" s="21" t="inlineStr">
        <is>
          <t>name</t>
        </is>
      </c>
      <c r="C1" s="21" t="inlineStr">
        <is>
          <t>role</t>
        </is>
      </c>
      <c r="D1" s="21" t="inlineStr">
        <is>
          <t>act1</t>
        </is>
      </c>
      <c r="E1" s="21" t="inlineStr">
        <is>
          <t>act2</t>
        </is>
      </c>
      <c r="F1" s="21" t="inlineStr">
        <is>
          <t>act3</t>
        </is>
      </c>
      <c r="G1" s="21" t="inlineStr">
        <is>
          <t>canon_dependent</t>
        </is>
      </c>
      <c r="H1" s="21" t="inlineStr">
        <is>
          <t>notes</t>
        </is>
      </c>
    </row>
    <row r="2" ht="15" customHeight="1" s="18">
      <c r="A2" s="23" t="inlineStr">
        <is>
          <t>npc_carter</t>
        </is>
      </c>
      <c r="B2" s="23" t="inlineStr">
        <is>
          <t>the carter</t>
        </is>
      </c>
      <c r="C2" s="23" t="inlineStr">
        <is>
          <t>world troupe</t>
        </is>
      </c>
      <c r="D2" s="23" t="inlineStr">
        <is>
          <t>yes</t>
        </is>
      </c>
      <c r="E2" s="23" t="inlineStr">
        <is>
          <t>yes</t>
        </is>
      </c>
      <c r="F2" s="23" t="inlineStr">
        <is>
          <t>yes</t>
        </is>
      </c>
      <c r="G2" s="23" t="inlineStr">
        <is>
          <t>no</t>
        </is>
      </c>
      <c r="H2" s="23" t="inlineStr">
        <is>
          <t>the hidden god is fond of him</t>
        </is>
      </c>
    </row>
    <row r="3" ht="15" customHeight="1" s="18">
      <c r="A3" s="23" t="inlineStr">
        <is>
          <t>npc_soldier</t>
        </is>
      </c>
      <c r="B3" s="23" t="inlineStr">
        <is>
          <t>the pardoned soldier</t>
        </is>
      </c>
      <c r="C3" s="23" t="inlineStr">
        <is>
          <t>world troupe</t>
        </is>
      </c>
      <c r="D3" s="23" t="inlineStr">
        <is>
          <t>yes</t>
        </is>
      </c>
      <c r="E3" s="23" t="inlineStr">
        <is>
          <t>yes</t>
        </is>
      </c>
      <c r="F3" s="23" t="inlineStr">
        <is>
          <t>yes</t>
        </is>
      </c>
      <c r="G3" s="23" t="inlineStr">
        <is>
          <t>yes</t>
        </is>
      </c>
      <c r="H3" s="23" t="n"/>
    </row>
    <row r="4" ht="23.25" customHeight="1" s="18">
      <c r="A4" s="23" t="inlineStr">
        <is>
          <t>npc_surveyor</t>
        </is>
      </c>
      <c r="B4" s="23" t="inlineStr">
        <is>
          <t>the church surveyor</t>
        </is>
      </c>
      <c r="C4" s="23" t="inlineStr">
        <is>
          <t>world troupe</t>
        </is>
      </c>
      <c r="D4" s="23" t="inlineStr">
        <is>
          <t>yes</t>
        </is>
      </c>
      <c r="E4" s="23" t="inlineStr">
        <is>
          <t>yes</t>
        </is>
      </c>
      <c r="F4" s="23" t="inlineStr">
        <is>
          <t>yes</t>
        </is>
      </c>
      <c r="G4" s="23" t="inlineStr">
        <is>
          <t>no</t>
        </is>
      </c>
      <c r="H4" s="23" t="inlineStr">
        <is>
          <t>revealed at ch_x11 as the crown's auditor; retroactively load-bearing</t>
        </is>
      </c>
    </row>
    <row r="5" ht="15" customHeight="1" s="18">
      <c r="A5" s="23" t="inlineStr">
        <is>
          <t>npc_heir</t>
        </is>
      </c>
      <c r="B5" s="23" t="inlineStr">
        <is>
          <t>the heir</t>
        </is>
      </c>
      <c r="C5" s="23" t="inlineStr">
        <is>
          <t>world troupe</t>
        </is>
      </c>
      <c r="D5" s="23" t="inlineStr">
        <is>
          <t>yes</t>
        </is>
      </c>
      <c r="E5" s="23" t="inlineStr">
        <is>
          <t>yes</t>
        </is>
      </c>
      <c r="F5" s="23" t="inlineStr">
        <is>
          <t>yes</t>
        </is>
      </c>
      <c r="G5" s="23" t="inlineStr">
        <is>
          <t>yes</t>
        </is>
      </c>
      <c r="H5" s="23" t="n"/>
    </row>
    <row r="6" ht="15" customHeight="1" s="18">
      <c r="A6" s="23" t="inlineStr">
        <is>
          <t>npc_errand</t>
        </is>
      </c>
      <c r="B6" s="23" t="inlineStr">
        <is>
          <t>the small odd traveler</t>
        </is>
      </c>
      <c r="C6" s="23" t="inlineStr">
        <is>
          <t>hidden god</t>
        </is>
      </c>
      <c r="D6" s="23" t="inlineStr">
        <is>
          <t>yes</t>
        </is>
      </c>
      <c r="E6" s="23" t="inlineStr">
        <is>
          <t>yes</t>
        </is>
      </c>
      <c r="F6" s="23" t="inlineStr">
        <is>
          <t>yes</t>
        </is>
      </c>
      <c r="G6" s="23" t="inlineStr">
        <is>
          <t>no</t>
        </is>
      </c>
      <c r="H6" s="23" t="inlineStr">
        <is>
          <t>Emmaus register; zero mechanical payoff; never confirmed</t>
        </is>
      </c>
    </row>
    <row r="7" ht="15" customHeight="1" s="18">
      <c r="A7" s="23" t="inlineStr">
        <is>
          <t>npc_macuil</t>
        </is>
      </c>
      <c r="B7" s="23" t="inlineStr">
        <is>
          <t>Macuil</t>
        </is>
      </c>
      <c r="C7" s="23" t="inlineStr">
        <is>
          <t>hermit saint</t>
        </is>
      </c>
      <c r="D7" s="23" t="inlineStr">
        <is>
          <t>no</t>
        </is>
      </c>
      <c r="E7" s="23" t="inlineStr">
        <is>
          <t>no</t>
        </is>
      </c>
      <c r="F7" s="23" t="inlineStr">
        <is>
          <t>yes</t>
        </is>
      </c>
      <c r="G7" s="23" t="inlineStr">
        <is>
          <t>no</t>
        </is>
      </c>
      <c r="H7" s="23" t="inlineStr">
        <is>
          <t>the north wind winds; paralogue capstone; refuses to adjudicate sect_coast CONFIRMED (2026-09-23) as the sect whose paralogue this is, via regions.rgn_stepped_coast's claimed_by_sect_id and matching texture.</t>
        </is>
      </c>
    </row>
    <row r="8" ht="15" customHeight="1" s="18">
      <c r="A8" s="23" t="inlineStr">
        <is>
          <t>npc_indech</t>
        </is>
      </c>
      <c r="B8" s="23" t="inlineStr">
        <is>
          <t>Indech</t>
        </is>
      </c>
      <c r="C8" s="23" t="inlineStr">
        <is>
          <t>hermit saint</t>
        </is>
      </c>
      <c r="D8" s="23" t="inlineStr">
        <is>
          <t>no</t>
        </is>
      </c>
      <c r="E8" s="23" t="inlineStr">
        <is>
          <t>no</t>
        </is>
      </c>
      <c r="F8" s="23" t="inlineStr">
        <is>
          <t>yes</t>
        </is>
      </c>
      <c r="G8" s="23" t="inlineStr">
        <is>
          <t>no</t>
        </is>
      </c>
      <c r="H8" s="23" t="inlineStr">
        <is>
          <t>his lake, fisher cult; paralogue capstone</t>
        </is>
      </c>
    </row>
    <row r="9" ht="225.35" customHeight="1" s="18">
      <c r="A9" s="23" t="inlineStr">
        <is>
          <t>npc_methodios</t>
        </is>
      </c>
      <c r="B9" s="23" t="inlineStr">
        <is>
          <t>Methodios</t>
        </is>
      </c>
      <c r="C9" s="23" t="inlineStr">
        <is>
          <t>prophet; herald of the Hierophant</t>
        </is>
      </c>
      <c r="D9" s="23" t="inlineStr">
        <is>
          <t>no</t>
        </is>
      </c>
      <c r="E9" s="23" t="inlineStr">
        <is>
          <t>yes</t>
        </is>
      </c>
      <c r="F9" s="23" t="inlineStr">
        <is>
          <t>yes</t>
        </is>
      </c>
      <c r="G9" s="23" t="inlineStr">
        <is>
          <t>no</t>
        </is>
      </c>
      <c r="H9" s="23" t="inlineStr">
        <is>
          <t>SABBATAI ZEVI SPLIT IN TWO: the Hierophant carries the claimant's volatility (real cycles of exaltation and collapse, not villain theatrics); Methodios is the Nathan of Gaza figure -- did not originate the claim, proselytized it across Act 2 (his preaching is the actual mechanism that produces sect consolidation; he is embedded in sect_march, RESOLVING the 'which sect' question on the Hierophant ending (RESOLVED 2026-09-23, see the_hierophant tab)). NOT RECRUITABLE by design -- his function depends on staying devoted after the party wins. Survives the capture/trial regardless of verdict and is the one who decides, theologically, what defeat means: reframes mercy as a hidden necessary descent (subterfuge route) or reframes execution as betrayal with no ambiguity left to manage (attrition-war route). Named for Cyril and Methodios, missionaries who invented a script specifically to translate scripture for people who'd never had access to it -- his function is the same one degree removed: translating a person's volatility into a doctrine other people can hold</t>
        </is>
      </c>
    </row>
    <row r="10" ht="15" customHeight="1" s="18">
      <c r="A10" s="25" t="inlineStr">
        <is>
          <t>Troupe rules: 1+ appearance per act, diegetic, never plot-critical, at least two meet on screen.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I1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2" customWidth="1" style="17" min="2" max="2"/>
    <col width="14" customWidth="1" style="17" min="3" max="3"/>
    <col width="24" customWidth="1" style="17" min="4" max="4"/>
    <col width="18" customWidth="1" style="17" min="5" max="5"/>
    <col width="20" customWidth="1" style="17" min="6" max="6"/>
    <col width="46" customWidth="1" style="17" min="7" max="7"/>
    <col width="12" customWidth="1" style="17" min="8" max="9"/>
  </cols>
  <sheetData>
    <row r="1" ht="30" customHeight="1" s="18">
      <c r="A1" s="21" t="inlineStr">
        <is>
          <t>scene_id</t>
        </is>
      </c>
      <c r="B1" s="21" t="inlineStr">
        <is>
          <t>chapter_id</t>
        </is>
      </c>
      <c r="C1" s="21" t="inlineStr">
        <is>
          <t>type</t>
        </is>
      </c>
      <c r="D1" s="21" t="inlineStr">
        <is>
          <t>speaker_ids</t>
        </is>
      </c>
      <c r="E1" s="21" t="inlineStr">
        <is>
          <t>depends_on_flags</t>
        </is>
      </c>
      <c r="F1" s="21" t="inlineStr">
        <is>
          <t>depends_on_units</t>
        </is>
      </c>
      <c r="G1" s="21" t="inlineStr">
        <is>
          <t>summary</t>
        </is>
      </c>
      <c r="H1" s="21" t="inlineStr">
        <is>
          <t>status</t>
        </is>
      </c>
      <c r="I1" s="21" t="inlineStr">
        <is>
          <t>word_count</t>
        </is>
      </c>
    </row>
    <row r="2" ht="23.25" customHeight="1" s="18">
      <c r="A2" s="23" t="inlineStr">
        <is>
          <t>sc_x11_writ</t>
        </is>
      </c>
      <c r="B2" s="23" t="inlineStr">
        <is>
          <t>ch_x11</t>
        </is>
      </c>
      <c r="C2" s="23" t="inlineStr">
        <is>
          <t>post-battle</t>
        </is>
      </c>
      <c r="D2" s="23" t="inlineStr">
        <is>
          <t>u_avatar|npc_surveyor</t>
        </is>
      </c>
      <c r="E2" s="23" t="n"/>
      <c r="F2" s="23" t="inlineStr">
        <is>
          <t>u_ricberta|u_emmerich</t>
        </is>
      </c>
      <c r="G2" s="23" t="inlineStr">
        <is>
          <t>the writ is read; the deputy is named; the auditor reveals himself</t>
        </is>
      </c>
      <c r="H2" s="23" t="inlineStr">
        <is>
          <t>drafted</t>
        </is>
      </c>
      <c r="I2" s="23" t="n">
        <v>0</v>
      </c>
    </row>
    <row r="3">
      <c r="A3" s="23" t="inlineStr">
        <is>
          <t>sc_e31_ledger</t>
        </is>
      </c>
      <c r="B3" s="23" t="inlineStr">
        <is>
          <t>ch_e31</t>
        </is>
      </c>
      <c r="C3" s="23" t="inlineStr">
        <is>
          <t>pre-battle</t>
        </is>
      </c>
      <c r="D3" s="23" t="inlineStr">
        <is>
          <t>u_avatar</t>
        </is>
      </c>
      <c r="E3" s="23" t="inlineStr">
        <is>
          <t>flag_deaths</t>
        </is>
      </c>
      <c r="F3" s="23" t="inlineStr">
        <is>
          <t>u_maren|u_kest</t>
        </is>
      </c>
      <c r="G3" s="23" t="inlineStr">
        <is>
          <t>the avatar reviews what Act 1-2 choices bought and cost; ascension_signals' hidden telemetry (sig_defection_handling, sig_kest_restitution) starts reading here, invisibly</t>
        </is>
      </c>
      <c r="H3" s="23" t="inlineStr">
        <is>
          <t>drafted</t>
        </is>
      </c>
      <c r="I3" s="23" t="n">
        <v>0</v>
      </c>
    </row>
    <row r="4" ht="15" customHeight="1" s="18">
      <c r="A4" s="23" t="inlineStr">
        <is>
          <t>sc_e32_sanctified</t>
        </is>
      </c>
      <c r="B4" s="23" t="inlineStr">
        <is>
          <t>ch_e32_sanctified</t>
        </is>
      </c>
      <c r="C4" s="23" t="inlineStr">
        <is>
          <t>post-battle</t>
        </is>
      </c>
      <c r="D4" s="23" t="inlineStr">
        <is>
          <t>u_avatar</t>
        </is>
      </c>
      <c r="E4" s="23" t="n"/>
      <c r="F4" s="23" t="n"/>
      <c r="G4" s="23" t="inlineStr">
        <is>
          <t>the deposed patrons fall; no one strikes down the Enlightened One himself; the avatar watches a true good ending still cost the plurality something</t>
        </is>
      </c>
      <c r="H4" s="23" t="inlineStr">
        <is>
          <t>drafted</t>
        </is>
      </c>
      <c r="I4" s="23" t="n">
        <v>0</v>
      </c>
    </row>
    <row r="5">
      <c r="A5" s="23" t="inlineStr">
        <is>
          <t>sc_e32_perverse</t>
        </is>
      </c>
      <c r="B5" s="23" t="inlineStr">
        <is>
          <t>ch_e32_perverse</t>
        </is>
      </c>
      <c r="C5" s="23" t="inlineStr">
        <is>
          <t>post-battle</t>
        </is>
      </c>
      <c r="D5" s="23" t="inlineStr">
        <is>
          <t>u_avatar</t>
        </is>
      </c>
      <c r="E5" s="23" t="n"/>
      <c r="F5" s="23" t="n"/>
      <c r="G5" s="23" t="inlineStr">
        <is>
          <t>the avatar faces him directly; the Idol's shape is unmistakably the Hierophant's colossus too; victory reads as exposure, not martyrdom</t>
        </is>
      </c>
      <c r="H5" s="23" t="inlineStr">
        <is>
          <t>drafted</t>
        </is>
      </c>
      <c r="I5" s="23" t="n">
        <v>0</v>
      </c>
    </row>
    <row r="6">
      <c r="A6" s="23" t="inlineStr">
        <is>
          <t>sc_h31_capture</t>
        </is>
      </c>
      <c r="B6" s="23" t="inlineStr">
        <is>
          <t>ch_h31</t>
        </is>
      </c>
      <c r="C6" s="23" t="inlineStr">
        <is>
          <t>post-battle</t>
        </is>
      </c>
      <c r="D6" s="23" t="inlineStr">
        <is>
          <t>u_avatar|npc_methodios</t>
        </is>
      </c>
      <c r="E6" s="23" t="n"/>
      <c r="F6" s="23" t="n"/>
      <c r="G6" s="23" t="inlineStr">
        <is>
          <t>the defense scenario ends in capture, not a kill; Methodios watches his claimant taken alive, and says nothing yet</t>
        </is>
      </c>
      <c r="H6" s="23" t="inlineStr">
        <is>
          <t>drafted</t>
        </is>
      </c>
      <c r="I6" s="23" t="n">
        <v>0</v>
      </c>
    </row>
    <row r="7">
      <c r="A7" s="23" t="inlineStr">
        <is>
          <t>sc_h32_trial</t>
        </is>
      </c>
      <c r="B7" s="23" t="inlineStr">
        <is>
          <t>ch_h32</t>
        </is>
      </c>
      <c r="C7" s="23" t="inlineStr">
        <is>
          <t>narrative</t>
        </is>
      </c>
      <c r="D7" s="23" t="inlineStr">
        <is>
          <t>u_avatar|npc_methodios</t>
        </is>
      </c>
      <c r="E7" s="23" t="n"/>
      <c r="F7" s="23" t="n"/>
      <c r="G7" s="23" t="inlineStr">
        <is>
          <t>the Diadem convenes at Kaisareia; the avatar (or whoever holds the relevant commission) recommends sentence; SETS flag_hierophant_verdict (mercy | execution), forking to ch_h33_mercy or ch_h34_war1</t>
        </is>
      </c>
      <c r="H7" s="23" t="inlineStr">
        <is>
          <t>drafted</t>
        </is>
      </c>
      <c r="I7" s="23" t="n">
        <v>0</v>
      </c>
    </row>
    <row r="8">
      <c r="A8" s="23" t="inlineStr">
        <is>
          <t>sc_h33_mercy_subterfuge</t>
        </is>
      </c>
      <c r="B8" s="23" t="inlineStr">
        <is>
          <t>ch_h33_mercy</t>
        </is>
      </c>
      <c r="C8" s="23" t="inlineStr">
        <is>
          <t>pre-battle</t>
        </is>
      </c>
      <c r="D8" s="23" t="inlineStr">
        <is>
          <t>u_avatar|npc_methodios</t>
        </is>
      </c>
      <c r="E8" s="23" t="inlineStr">
        <is>
          <t>flag_hierophant_verdict</t>
        </is>
      </c>
      <c r="F8" s="23" t="n"/>
      <c r="G8" s="23" t="inlineStr">
        <is>
          <t>Methodios reframes the capitulation as a hidden necessary descent, not a defeat; the movement goes to ground; a second battle is already forming</t>
        </is>
      </c>
      <c r="H8" s="23" t="inlineStr">
        <is>
          <t>drafted</t>
        </is>
      </c>
      <c r="I8" s="23" t="n">
        <v>0</v>
      </c>
    </row>
    <row r="9">
      <c r="A9" s="23" t="inlineStr">
        <is>
          <t>sc_h34_war1</t>
        </is>
      </c>
      <c r="B9" s="23" t="inlineStr">
        <is>
          <t>ch_h34_war1</t>
        </is>
      </c>
      <c r="C9" s="23" t="inlineStr">
        <is>
          <t>pre-battle</t>
        </is>
      </c>
      <c r="D9" s="23" t="inlineStr">
        <is>
          <t>u_avatar</t>
        </is>
      </c>
      <c r="E9" s="23" t="inlineStr">
        <is>
          <t>flag_hierophant_verdict</t>
        </is>
      </c>
      <c r="F9" s="23" t="n"/>
      <c r="G9" s="23" t="inlineStr">
        <is>
          <t>the first fractured region takes up arms; a former ally's banner now marks an enemy den</t>
        </is>
      </c>
      <c r="H9" s="23" t="inlineStr">
        <is>
          <t>drafted</t>
        </is>
      </c>
      <c r="I9" s="23" t="n">
        <v>0</v>
      </c>
    </row>
    <row r="10">
      <c r="A10" s="23" t="inlineStr">
        <is>
          <t>sc_h34_war2</t>
        </is>
      </c>
      <c r="B10" s="23" t="inlineStr">
        <is>
          <t>ch_h34_war2</t>
        </is>
      </c>
      <c r="C10" s="23" t="inlineStr">
        <is>
          <t>pre-battle</t>
        </is>
      </c>
      <c r="D10" s="23" t="inlineStr">
        <is>
          <t>u_avatar</t>
        </is>
      </c>
      <c r="E10" s="23" t="inlineStr">
        <is>
          <t>flag_hierophant_verdict</t>
        </is>
      </c>
      <c r="F10" s="23" t="n"/>
      <c r="G10" s="23" t="inlineStr">
        <is>
          <t>a second front opens; the avatar counts what the sentence chosen at Kaisareia is actually costing, region by region</t>
        </is>
      </c>
      <c r="H10" s="23" t="inlineStr">
        <is>
          <t>drafted</t>
        </is>
      </c>
      <c r="I10" s="23" t="n">
        <v>0</v>
      </c>
    </row>
    <row r="11">
      <c r="A11" s="23" t="inlineStr">
        <is>
          <t>sc_h34_war3_reckoning</t>
        </is>
      </c>
      <c r="B11" s="23" t="inlineStr">
        <is>
          <t>ch_h34_war3</t>
        </is>
      </c>
      <c r="C11" s="23" t="inlineStr">
        <is>
          <t>post-battle</t>
        </is>
      </c>
      <c r="D11" s="23" t="inlineStr">
        <is>
          <t>u_avatar|npc_methodios</t>
        </is>
      </c>
      <c r="E11" s="23" t="inlineStr">
        <is>
          <t>flag_hierophant_verdict</t>
        </is>
      </c>
      <c r="F11" s="23" t="n"/>
      <c r="G11" s="23" t="inlineStr">
        <is>
          <t>the war's last field; Methodios names the killing a betrayal, not a verdict, and means it</t>
        </is>
      </c>
      <c r="H11" s="23" t="inlineStr">
        <is>
          <t>drafted</t>
        </is>
      </c>
      <c r="I11" s="23" t="n">
        <v>0</v>
      </c>
    </row>
    <row r="12">
      <c r="A12" s="23" t="inlineStr">
        <is>
          <t>sc_p_macuil</t>
        </is>
      </c>
      <c r="B12" s="23" t="inlineStr">
        <is>
          <t>ch_p_macuil</t>
        </is>
      </c>
      <c r="C12" s="23" t="inlineStr">
        <is>
          <t>post-battle</t>
        </is>
      </c>
      <c r="D12" s="23" t="inlineStr">
        <is>
          <t>u_avatar|npc_macuil</t>
        </is>
      </c>
      <c r="E12" s="23" t="inlineStr">
        <is>
          <t>flag_deaths</t>
        </is>
      </c>
      <c r="F12" s="23" t="n"/>
      <c r="G12" s="23" t="inlineStr">
        <is>
          <t>Macuil offers both explanations for the terraces -- driven back by will, or rising on a schedule nobody is on -- and refuses to say which one is true; 'dark in some runs' (sects.sect_coast's own note) reads off flag_deaths: a costly run hears his silence as an indictment, a clean one hears it as genuine renunciation -- same words either way, per that sect's own doctrine that adjudication itself is the thing being refused</t>
        </is>
      </c>
      <c r="H12" s="23" t="inlineStr">
        <is>
          <t>drafted</t>
        </is>
      </c>
      <c r="I12" s="23" t="n">
        <v>0</v>
      </c>
    </row>
    <row r="13">
      <c r="A13" s="23" t="inlineStr">
        <is>
          <t>sc_p_indech</t>
        </is>
      </c>
      <c r="B13" s="23" t="inlineStr">
        <is>
          <t>ch_p_indech</t>
        </is>
      </c>
      <c r="C13" s="23" t="inlineStr">
        <is>
          <t>post-battle</t>
        </is>
      </c>
      <c r="D13" s="23" t="inlineStr">
        <is>
          <t>u_avatar|npc_indech</t>
        </is>
      </c>
      <c r="E13" s="23" t="n"/>
      <c r="F13" s="23" t="n"/>
      <c r="G13" s="23" t="inlineStr">
        <is>
          <t>Indech's fisher cult reads the lake for an answer it may not actually contain</t>
        </is>
      </c>
      <c r="H13" s="23" t="inlineStr">
        <is>
          <t>drafted</t>
        </is>
      </c>
      <c r="I13" s="23" t="n">
        <v>0</v>
      </c>
    </row>
    <row r="15">
      <c r="A15" s="25" t="inlineStr">
        <is>
          <t>One row per generated scene. depends_on_* columns are the coherence contract: the validator fails any scene naming a unit that has not joined by its chapter.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D3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17" min="1" max="1"/>
    <col width="56" customWidth="1" style="17" min="2" max="2"/>
    <col width="12" customWidth="1" style="17" min="3" max="4"/>
  </cols>
  <sheetData>
    <row r="1" ht="15" customHeight="1" s="18">
      <c r="A1" s="22" t="inlineStr">
        <is>
          <t>check_id</t>
        </is>
      </c>
      <c r="B1" s="22" t="inlineStr">
        <is>
          <t>description</t>
        </is>
      </c>
      <c r="C1" s="22" t="inlineStr">
        <is>
          <t>severity</t>
        </is>
      </c>
      <c r="D1" s="22" t="inlineStr">
        <is>
          <t>violations</t>
        </is>
      </c>
    </row>
    <row r="2" ht="15" customHeight="1" s="18">
      <c r="A2" s="23" t="inlineStr">
        <is>
          <t>v01</t>
        </is>
      </c>
      <c r="B2" s="23" t="inlineStr">
        <is>
          <t>units with a join_chapter_id not present in chapters</t>
        </is>
      </c>
      <c r="C2" s="23" t="inlineStr">
        <is>
          <t>blocking</t>
        </is>
      </c>
      <c r="D2" s="24">
        <f>SUMPRODUCT(--(COUNTIF(chapters!$A$2:$A$500,units!$E$2:$E$200)=0),--(units!$E$2:$E$200&lt;&gt;""))</f>
        <v/>
      </c>
    </row>
    <row r="3" ht="15" customHeight="1" s="18">
      <c r="A3" s="23" t="inlineStr">
        <is>
          <t>v02</t>
        </is>
      </c>
      <c r="B3" s="23" t="inlineStr">
        <is>
          <t>units with a base_class_id not present in classes</t>
        </is>
      </c>
      <c r="C3" s="23" t="inlineStr">
        <is>
          <t>blocking</t>
        </is>
      </c>
      <c r="D3" s="24">
        <f>SUMPRODUCT(--(COUNTIF(classes!$A$2:$A$500,units!$G$2:$G$200)=0),--(units!$G$2:$G$200&lt;&gt;""))</f>
        <v/>
      </c>
    </row>
    <row r="4" ht="15" customHeight="1" s="18">
      <c r="A4" s="23" t="inlineStr">
        <is>
          <t>v03</t>
        </is>
      </c>
      <c r="B4" s="23" t="inlineStr">
        <is>
          <t>units with a growth_profile_id not present in growths</t>
        </is>
      </c>
      <c r="C4" s="23" t="inlineStr">
        <is>
          <t>blocking</t>
        </is>
      </c>
      <c r="D4" s="24">
        <f>SUMPRODUCT(--(COUNTIF(growths!$A$2:$A$200,units!$H$2:$H$200)=0),--(units!$H$2:$H$200&lt;&gt;""))</f>
        <v/>
      </c>
    </row>
    <row r="5" ht="15" customHeight="1" s="18">
      <c r="A5" s="23" t="inlineStr">
        <is>
          <t>v04</t>
        </is>
      </c>
      <c r="B5" s="23" t="inlineStr">
        <is>
          <t>chapters pointing at a map_id not present in maps</t>
        </is>
      </c>
      <c r="C5" s="23" t="inlineStr">
        <is>
          <t>blocking</t>
        </is>
      </c>
      <c r="D5" s="24">
        <f>SUMPRODUCT(--(COUNTIF(maps!$A$2:$A$500,chapters!$G$2:$G$500)=0),--(chapters!$G$2:$G$500&lt;&gt;""))</f>
        <v/>
      </c>
    </row>
    <row r="6" ht="15" customHeight="1" s="18">
      <c r="A6" s="23" t="inlineStr">
        <is>
          <t>v05</t>
        </is>
      </c>
      <c r="B6" s="23" t="inlineStr">
        <is>
          <t>chapters citing a sect_id not present in sects</t>
        </is>
      </c>
      <c r="C6" s="23" t="inlineStr">
        <is>
          <t>blocking</t>
        </is>
      </c>
      <c r="D6" s="24">
        <f>SUMPRODUCT(--(COUNTIF(sects!$A$2:$A$50,chapters!$H$2:$H$500)=0),--(chapters!$H$2:$H$500&lt;&gt;""))</f>
        <v/>
      </c>
    </row>
    <row r="7" ht="15" customHeight="1" s="18">
      <c r="A7" s="23" t="inlineStr">
        <is>
          <t>v06</t>
        </is>
      </c>
      <c r="B7" s="23" t="inlineStr">
        <is>
          <t>classes promoting from a class_id that does not exist</t>
        </is>
      </c>
      <c r="C7" s="23" t="inlineStr">
        <is>
          <t>blocking</t>
        </is>
      </c>
      <c r="D7" s="24">
        <f>SUMPRODUCT(--(COUNTIF(classes!$A$2:$A$500,classes!$G$2:$G$500)=0),--(classes!$G$2:$G$500&lt;&gt;""))</f>
        <v/>
      </c>
    </row>
    <row r="8" ht="15" customHeight="1" s="18">
      <c r="A8" s="23" t="inlineStr">
        <is>
          <t>v07</t>
        </is>
      </c>
      <c r="B8" s="23" t="inlineStr">
        <is>
          <t>maps whose objective_verb is not in enums</t>
        </is>
      </c>
      <c r="C8" s="23" t="inlineStr">
        <is>
          <t>blocking</t>
        </is>
      </c>
      <c r="D8" s="24">
        <f>SUMPRODUCT(--(COUNTIF(enums!$G$2:$G$50,maps!$E$2:$E$500)=0),--(maps!$E$2:$E$500&lt;&gt;""))</f>
        <v/>
      </c>
    </row>
    <row r="9" ht="15" customHeight="1" s="18">
      <c r="A9" s="23" t="inlineStr">
        <is>
          <t>v08</t>
        </is>
      </c>
      <c r="B9" s="23" t="inlineStr">
        <is>
          <t>scenes attached to a chapter_id that does not exist</t>
        </is>
      </c>
      <c r="C9" s="23" t="inlineStr">
        <is>
          <t>blocking</t>
        </is>
      </c>
      <c r="D9" s="24">
        <f>SUMPRODUCT(--(COUNTIF(chapters!$A$2:$A$500,scenes!$B$2:$B$999)=0),--(scenes!$B$2:$B$999&lt;&gt;""))</f>
        <v/>
      </c>
    </row>
    <row r="10" ht="15" customHeight="1" s="18">
      <c r="A10" s="23" t="inlineStr">
        <is>
          <t>v09</t>
        </is>
      </c>
      <c r="B10" s="23" t="inlineStr">
        <is>
          <t>recruitable units still short of the 24 minimum</t>
        </is>
      </c>
      <c r="C10" s="23" t="inlineStr">
        <is>
          <t>warning</t>
        </is>
      </c>
      <c r="D10" s="24">
        <f>MAX(0,24-COUNTIF(units!$C$2:$C$200,"recruitable"))</f>
        <v/>
      </c>
    </row>
    <row r="11" ht="15" customHeight="1" s="18">
      <c r="A11" s="23" t="inlineStr">
        <is>
          <t>v10</t>
        </is>
      </c>
      <c r="B11" s="23" t="inlineStr">
        <is>
          <t>growth profiles outside the 305-325 band (Jagens excluded)</t>
        </is>
      </c>
      <c r="C11" s="23" t="inlineStr">
        <is>
          <t>warning</t>
        </is>
      </c>
      <c r="D11" s="24">
        <f>SUMPRODUCT(--(growths!$A$2:$A$200&lt;&gt;""),--(LEFT(growths!$A$2:$A$200,8)&lt;&gt;"gp_jagen"),--(growths!$J$2:$J$200&gt;0),--((growths!$J$2:$J$200&lt;305)+(growths!$J$2:$J$200&gt;325)&gt;0))</f>
        <v/>
      </c>
    </row>
    <row r="12" ht="15" customHeight="1" s="18">
      <c r="A12" s="23" t="inlineStr">
        <is>
          <t>v11</t>
        </is>
      </c>
      <c r="B12" s="23" t="inlineStr">
        <is>
          <t>sects with zero Act 2 chapters (the Stepped Coast is the only legal case)</t>
        </is>
      </c>
      <c r="C12" s="23" t="inlineStr">
        <is>
          <t>info</t>
        </is>
      </c>
      <c r="D12" s="24">
        <f>COUNTIF(sects!$I$2:$I$50,0)</f>
        <v/>
      </c>
    </row>
    <row r="13" ht="15" customHeight="1" s="18">
      <c r="A13" s="23" t="inlineStr">
        <is>
          <t>v12</t>
        </is>
      </c>
      <c r="B13" s="23" t="inlineStr">
        <is>
          <t>chapters in act 2 with no column assigned</t>
        </is>
      </c>
      <c r="C13" s="23" t="inlineStr">
        <is>
          <t>warning</t>
        </is>
      </c>
      <c r="D13" s="24">
        <f>COUNTIFS(chapters!$B$2:$B$500,"2",chapters!$D$2:$D$500,"")</f>
        <v/>
      </c>
    </row>
    <row r="14" ht="15" customHeight="1" s="18">
      <c r="A14" s="23" t="inlineStr">
        <is>
          <t>v13</t>
        </is>
      </c>
      <c r="B14" s="23" t="inlineStr">
        <is>
          <t>Order-tier classes defined (matrix coverage, expect 25)</t>
        </is>
      </c>
      <c r="C14" s="23" t="inlineStr">
        <is>
          <t>info</t>
        </is>
      </c>
      <c r="D14" s="24">
        <f>COUNTIF(classes!$C$2:$C$500,"order")</f>
        <v/>
      </c>
    </row>
    <row r="15" ht="15" customHeight="1" s="18">
      <c r="A15" s="23" t="inlineStr">
        <is>
          <t>v14</t>
        </is>
      </c>
      <c r="B15" s="23" t="inlineStr">
        <is>
          <t>consecutive-chapter objective repetition (manual review flag)</t>
        </is>
      </c>
      <c r="C15" s="23" t="inlineStr">
        <is>
          <t>info</t>
        </is>
      </c>
      <c r="D15" s="24">
        <f>COUNTIF(maps!$E$2:$E$500,"escort")</f>
        <v/>
      </c>
    </row>
    <row r="16" ht="15" customHeight="1" s="18">
      <c r="A16" s="23" t="inlineStr">
        <is>
          <t>v15</t>
        </is>
      </c>
      <c r="B16" s="23" t="inlineStr">
        <is>
          <t>chapters with no tonal_register assigned</t>
        </is>
      </c>
      <c r="C16" s="23" t="inlineStr">
        <is>
          <t>warning</t>
        </is>
      </c>
      <c r="D16" s="23">
        <f>COUNTIF(chapters!$A$2:$A$500,"&lt;&gt;")-COUNTIF(chapters!$K$2:$K$500,"&lt;&gt;")</f>
        <v/>
      </c>
    </row>
    <row r="17" ht="15" customHeight="1" s="18">
      <c r="A17" s="23" t="inlineStr">
        <is>
          <t>v16</t>
        </is>
      </c>
      <c r="B17" s="23" t="inlineStr">
        <is>
          <t>warm/wondrous chapters (target: 1 in every 4)</t>
        </is>
      </c>
      <c r="C17" s="23" t="inlineStr">
        <is>
          <t>info</t>
        </is>
      </c>
      <c r="D17" s="23">
        <f>COUNTIF(chapters!$K$2:$K$500,"warm")+COUNTIF(chapters!$K$2:$K$500,"wondrous")</f>
        <v/>
      </c>
    </row>
    <row r="18" ht="15" customHeight="1" s="18">
      <c r="A18" s="23" t="inlineStr">
        <is>
          <t>v17</t>
        </is>
      </c>
      <c r="B18" s="23" t="inlineStr">
        <is>
          <t>regions whose scar has no material explanation</t>
        </is>
      </c>
      <c r="C18" s="23" t="inlineStr">
        <is>
          <t>warning</t>
        </is>
      </c>
      <c r="D18" s="23">
        <f>SUMPRODUCT(--(regions!$E$2:$E$50&lt;&gt;""),--(regions!$G$2:$G$50=""))</f>
        <v/>
      </c>
    </row>
    <row r="19" ht="15" customHeight="1" s="18">
      <c r="A19" s="23" t="inlineStr">
        <is>
          <t>v18</t>
        </is>
      </c>
      <c r="B19" s="23" t="inlineStr">
        <is>
          <t>regions whose scar has no sacred explanation</t>
        </is>
      </c>
      <c r="C19" s="23" t="inlineStr">
        <is>
          <t>warning</t>
        </is>
      </c>
      <c r="D19" s="23">
        <f>SUMPRODUCT(--(regions!$E$2:$E$50&lt;&gt;""),--(regions!$F$2:$F$50=""))</f>
        <v/>
      </c>
    </row>
    <row r="20" ht="15" customHeight="1" s="18">
      <c r="A20" s="23" t="inlineStr">
        <is>
          <t>v19</t>
        </is>
      </c>
      <c r="B20" s="23" t="inlineStr">
        <is>
          <t>Named pointing at a region that does not exist</t>
        </is>
      </c>
      <c r="C20" s="23" t="inlineStr">
        <is>
          <t>blocking</t>
        </is>
      </c>
      <c r="D20" s="23">
        <f>SUMPRODUCT(--(COUNTIF(regions!$A$2:$A$50,named!$C$2:$C$50)=0),--(named!$C$2:$C$50&lt;&gt;""))</f>
        <v/>
      </c>
    </row>
    <row r="21" ht="15" customHeight="1" s="18">
      <c r="A21" s="23" t="inlineStr">
        <is>
          <t>v20</t>
        </is>
      </c>
      <c r="B21" s="23" t="inlineStr">
        <is>
          <t>regions pointing at a Named that does not exist</t>
        </is>
      </c>
      <c r="C21" s="23" t="inlineStr">
        <is>
          <t>blocking</t>
        </is>
      </c>
      <c r="D21" s="23">
        <f>SUMPRODUCT(--(COUNTIF(named!$A$2:$A$50,regions!$I$2:$I$50)=0),--(regions!$I$2:$I$50&lt;&gt;""))</f>
        <v/>
      </c>
    </row>
    <row r="22" ht="15" customHeight="1" s="18">
      <c r="A22" s="23" t="inlineStr">
        <is>
          <t>v21</t>
        </is>
      </c>
      <c r="B22" s="23" t="inlineStr">
        <is>
          <t>regions citing a sect that does not exist</t>
        </is>
      </c>
      <c r="C22" s="23" t="inlineStr">
        <is>
          <t>blocking</t>
        </is>
      </c>
      <c r="D22" s="23">
        <f>SUMPRODUCT(--(COUNTIF(sects!$A$2:$A$50,regions!$H$2:$H$50)=0),--(regions!$H$2:$H$50&lt;&gt;""))</f>
        <v/>
      </c>
    </row>
    <row r="23" ht="15" customHeight="1" s="18">
      <c r="A23" s="23" t="inlineStr">
        <is>
          <t>v22</t>
        </is>
      </c>
      <c r="B23" s="23" t="inlineStr">
        <is>
          <t>maps solvable by a single unit (warp-skip exposure)</t>
        </is>
      </c>
      <c r="C23" s="23" t="inlineStr">
        <is>
          <t>blocking</t>
        </is>
      </c>
      <c r="D23" s="23">
        <f>COUNTIFS(maps!$K$2:$K$500,"&lt;2",maps!$K$2:$K$500,"&gt;0")</f>
        <v/>
      </c>
    </row>
    <row r="24" ht="15" customHeight="1" s="18">
      <c r="A24" s="23" t="inlineStr">
        <is>
          <t>v23</t>
        </is>
      </c>
      <c r="B24" s="23" t="inlineStr">
        <is>
          <t>maps with fewer than 2 stated approaches</t>
        </is>
      </c>
      <c r="C24" s="23" t="inlineStr">
        <is>
          <t>warning</t>
        </is>
      </c>
      <c r="D24" s="23">
        <f>SUMPRODUCT(--(LEFT(maps!$A$2:$A$500,4)="map_"),--(LEN(maps!$R$2:$R$500)-LEN(SUBSTITUTE(maps!$R$2:$R$500,"|",""))&lt;1))</f>
        <v/>
      </c>
    </row>
    <row r="25" ht="15" customHeight="1" s="18">
      <c r="A25" s="23" t="inlineStr">
        <is>
          <t>v24</t>
        </is>
      </c>
      <c r="B25" s="23" t="inlineStr">
        <is>
          <t>maps with reinforcements but no den</t>
        </is>
      </c>
      <c r="C25" s="23" t="inlineStr">
        <is>
          <t>blocking</t>
        </is>
      </c>
      <c r="D25" s="23">
        <f>COUNTIFS(maps!$J$2:$J$500,"den",maps!$K$2:$K$500,"no")</f>
        <v/>
      </c>
    </row>
    <row r="26" ht="15" customHeight="1" s="18">
      <c r="A26" s="23" t="inlineStr">
        <is>
          <t>v25</t>
        </is>
      </c>
      <c r="B26" s="23" t="inlineStr">
        <is>
          <t>maps with no reinforcement_source declared</t>
        </is>
      </c>
      <c r="C26" s="23" t="inlineStr">
        <is>
          <t>warning</t>
        </is>
      </c>
      <c r="D26" s="23">
        <f>SUMPRODUCT(--(LEFT(maps!$A$2:$A$500,4)="map_"),--(maps!$J$2:$J$500=""))</f>
        <v/>
      </c>
    </row>
    <row r="28" ht="15" customHeight="1" s="18">
      <c r="B28" s="28" t="inlineStr">
        <is>
          <t>BLOCKING VIOLATIONS</t>
        </is>
      </c>
      <c r="D28" s="29">
        <f>SUMIFS($D$2:$D$26,$C$2:$C$26,"blocking")</f>
        <v/>
      </c>
    </row>
    <row r="30" ht="15" customHeight="1" s="18">
      <c r="B30" s="25" t="inlineStr">
        <is>
          <t>Live referential integrity. Any blocking count above zero means the corpus has a dangling reference. canon_validate.py runs these plus the checks a formula cannot express and writes a violations CSV.</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11" customWidth="1" style="17" min="3" max="3"/>
    <col width="40" customWidth="1" style="17" min="4" max="4"/>
    <col width="38" customWidth="1" style="17" min="5" max="5"/>
    <col width="32" customWidth="1" style="17" min="6" max="7"/>
    <col width="18" customWidth="1" style="17" min="8" max="8"/>
    <col width="16" customWidth="1" style="17" min="9" max="9"/>
    <col width="52" customWidth="1" style="17" min="10" max="10"/>
  </cols>
  <sheetData>
    <row r="1" ht="30" customHeight="1" s="18">
      <c r="A1" s="21" t="inlineStr">
        <is>
          <t>region_id</t>
        </is>
      </c>
      <c r="B1" s="21" t="inlineStr">
        <is>
          <t>name</t>
        </is>
      </c>
      <c r="C1" s="21" t="inlineStr">
        <is>
          <t>direction</t>
        </is>
      </c>
      <c r="D1" s="21" t="inlineStr">
        <is>
          <t>elevated_in</t>
        </is>
      </c>
      <c r="E1" s="21" t="inlineStr">
        <is>
          <t>scar</t>
        </is>
      </c>
      <c r="F1" s="21" t="inlineStr">
        <is>
          <t>explanation_sacred</t>
        </is>
      </c>
      <c r="G1" s="21" t="inlineStr">
        <is>
          <t>explanation_material</t>
        </is>
      </c>
      <c r="H1" s="21" t="inlineStr">
        <is>
          <t>claimed_by_sect_id</t>
        </is>
      </c>
      <c r="I1" s="21" t="inlineStr">
        <is>
          <t>named_id</t>
        </is>
      </c>
      <c r="J1" s="21" t="inlineStr">
        <is>
          <t>texture</t>
        </is>
      </c>
    </row>
    <row r="2" ht="34.5" customHeight="1" s="18">
      <c r="A2" s="23" t="inlineStr">
        <is>
          <t>rgn_center</t>
        </is>
      </c>
      <c r="B2" s="23" t="inlineStr">
        <is>
          <t>the capital and its hinterland</t>
        </is>
      </c>
      <c r="C2" s="23" t="inlineStr">
        <is>
          <t>center</t>
        </is>
      </c>
      <c r="D2" s="23" t="inlineStr">
        <is>
          <t>antique: the largest library on the continent, almost none of it originally theirs</t>
        </is>
      </c>
      <c r="E2" s="23" t="inlineStr">
        <is>
          <t>none (the center is unscarred, which it considers proof of favor)</t>
        </is>
      </c>
      <c r="F2" s="23" t="n"/>
      <c r="G2" s="23" t="n"/>
      <c r="H2" s="23" t="inlineStr">
        <is>
          <t>sect_court</t>
        </is>
      </c>
      <c r="I2" s="23" t="n"/>
      <c r="J2" s="23" t="inlineStr">
        <is>
          <t>translations whose originals no longer exist; astronomers using tables computed a thousand miles east; physicians trained on a text the capital once condemned</t>
        </is>
      </c>
    </row>
    <row r="3" ht="34.5" customHeight="1" s="18">
      <c r="A3" s="23" t="inlineStr">
        <is>
          <t>rgn_drowned_march</t>
        </is>
      </c>
      <c r="B3" s="23" t="inlineStr">
        <is>
          <t>the Drowned March</t>
        </is>
      </c>
      <c r="C3" s="23" t="inlineStr">
        <is>
          <t>north</t>
        </is>
      </c>
      <c r="D3" s="23" t="inlineStr">
        <is>
          <t>socially: assembly-based succession, women holding property and title, contract law where the center has patronage</t>
        </is>
      </c>
      <c r="E3" s="23" t="inlineStr">
        <is>
          <t>a rift valley that filled; a lake with a visible former shoreline</t>
        </is>
      </c>
      <c r="F3" s="23" t="inlineStr">
        <is>
          <t>divine judgment on the old seat</t>
        </is>
      </c>
      <c r="G3" s="23" t="inlineStr">
        <is>
          <t>the ground simply dropped</t>
        </is>
      </c>
      <c r="H3" s="23" t="inlineStr">
        <is>
          <t>sect_march</t>
        </is>
      </c>
      <c r="I3" s="23" t="inlineStr">
        <is>
          <t>nmd_simurgh</t>
        </is>
      </c>
      <c r="J3" s="23" t="inlineStr">
        <is>
          <t>in dry years the top of a bell tower breaks the surface; villages sit on the new shoreline and farm the old one</t>
        </is>
      </c>
    </row>
    <row r="4" ht="34.5" customHeight="1" s="18">
      <c r="A4" s="23" t="inlineStr">
        <is>
          <t>rgn_ashland</t>
        </is>
      </c>
      <c r="B4" s="23" t="inlineStr">
        <is>
          <t>the Ashland</t>
        </is>
      </c>
      <c r="C4" s="23" t="inlineStr">
        <is>
          <t>east</t>
        </is>
      </c>
      <c r="D4" s="23" t="inlineStr">
        <is>
          <t>medically: hospitals with wards, optical and surgical instruments up the trade road</t>
        </is>
      </c>
      <c r="E4" s="23" t="inlineStr">
        <is>
          <t>a volcanic field; spectacular soil, bad air</t>
        </is>
      </c>
      <c r="F4" s="23" t="inlineStr">
        <is>
          <t>the earth was punished and the punishment feeds us</t>
        </is>
      </c>
      <c r="G4" s="23" t="inlineStr">
        <is>
          <t>ordinary vulcanism on a long cycle</t>
        </is>
      </c>
      <c r="H4" s="23" t="inlineStr">
        <is>
          <t>sect_vashti</t>
        </is>
      </c>
      <c r="I4" s="23" t="inlineStr">
        <is>
          <t>nmd_karkadann</t>
        </is>
      </c>
      <c r="J4" s="23" t="inlineStr">
        <is>
          <t>miasma tiles live here and stop being generic fog; people farm it anyway because the crops are extraordinary; the Miasma Warden class was born in this ground</t>
        </is>
      </c>
    </row>
    <row r="5" ht="23.25" customHeight="1" s="18">
      <c r="A5" s="23" t="inlineStr">
        <is>
          <t>rgn_glass_flats</t>
        </is>
      </c>
      <c r="B5" s="23" t="inlineStr">
        <is>
          <t>the Glass Flats</t>
        </is>
      </c>
      <c r="C5" s="23" t="inlineStr">
        <is>
          <t>southeast</t>
        </is>
      </c>
      <c r="D5" s="23" t="inlineStr">
        <is>
          <t>mathematically: algebra used for inheritance law, instruments, double-entry along the road</t>
        </is>
      </c>
      <c r="E5" s="23" t="inlineStr">
        <is>
          <t>fused ground, straight-edged, unmistakably made; nothing grows</t>
        </is>
      </c>
      <c r="F5" s="23" t="inlineStr">
        <is>
          <t>a weapon, a thousand years old, per the state</t>
        </is>
      </c>
      <c r="G5" s="23" t="inlineStr">
        <is>
          <t>a weapon, two hundred years old, per a manifest the Company's factors hold</t>
        </is>
      </c>
      <c r="H5" s="23" t="inlineStr">
        <is>
          <t>sect_road</t>
        </is>
      </c>
      <c r="I5" s="23" t="inlineStr">
        <is>
          <t>nmd_anzu</t>
        </is>
      </c>
      <c r="J5" s="23" t="inlineStr">
        <is>
          <t>Namibian register: white sky, hard noon light, mineral color, a single figure legible at distance. Beautiful, not gothic</t>
        </is>
      </c>
    </row>
    <row r="6" ht="34.5" customHeight="1" s="18">
      <c r="A6" s="23" t="inlineStr">
        <is>
          <t>rgn_stepped_coast</t>
        </is>
      </c>
      <c r="B6" s="23" t="inlineStr">
        <is>
          <t>the Stepped Coast</t>
        </is>
      </c>
      <c r="C6" s="23" t="inlineStr">
        <is>
          <t>west</t>
        </is>
      </c>
      <c r="D6" s="23" t="inlineStr">
        <is>
          <t>administratively: decimal officialdom, a labor tax, storehouse networks, knotted-cord records no living person can read</t>
        </is>
      </c>
      <c r="E6" s="23" t="inlineStr">
        <is>
          <t>three raised marine terraces, each a former shoreline, each with a ruined harbor at the wrong altitude</t>
        </is>
      </c>
      <c r="F6" s="23" t="inlineStr">
        <is>
          <t>the sea was driven back by an act of will</t>
        </is>
      </c>
      <c r="G6" s="23" t="inlineStr">
        <is>
          <t>the land rises on a schedule nobody is on</t>
        </is>
      </c>
      <c r="H6" s="23" t="inlineStr">
        <is>
          <t>sect_coast</t>
        </is>
      </c>
      <c r="I6" s="23" t="inlineStr">
        <is>
          <t>nmd_shadhavar</t>
        </is>
      </c>
      <c r="J6" s="23" t="inlineStr">
        <is>
          <t>the quietest and most unsettling scar; purely tectonic and entirely undramatic</t>
        </is>
      </c>
    </row>
    <row r="7" ht="23.25" customHeight="1" s="18">
      <c r="A7" s="23" t="inlineStr">
        <is>
          <t>rgn_the_throat</t>
        </is>
      </c>
      <c r="B7" s="23" t="inlineStr">
        <is>
          <t>the Throat</t>
        </is>
      </c>
      <c r="C7" s="23" t="inlineStr">
        <is>
          <t>southeast</t>
        </is>
      </c>
      <c r="D7" s="23" t="inlineStr">
        <is>
          <t>commercially: credit instruments, brokerage, letters of exchange</t>
        </is>
      </c>
      <c r="E7" s="23" t="inlineStr">
        <is>
          <t>none; the road itself is the feature</t>
        </is>
      </c>
      <c r="F7" s="23" t="n"/>
      <c r="G7" s="23" t="n"/>
      <c r="H7" s="23" t="inlineStr">
        <is>
          <t>sect_road</t>
        </is>
      </c>
      <c r="I7" s="23" t="inlineStr">
        <is>
          <t>nmd_huma</t>
        </is>
      </c>
      <c r="J7" s="23" t="inlineStr">
        <is>
          <t>the Huma drifts here rather than nesting; it never lands, so it belongs to a road rather than a place</t>
        </is>
      </c>
    </row>
    <row r="9" ht="15" customHeight="1" s="18">
      <c r="A9" s="25" t="inlineStr">
        <is>
          <t>DISCIPLINE: every scar supports at least two incompatible explanations and the game confirms none. Sacred vs material is one axis; human vs deity is another. The center is antique, the fringes are current -- learning MOVED east and came back translated, it was never suppressed.</t>
        </is>
      </c>
    </row>
    <row r="10" ht="91" customHeight="1" s="18">
      <c r="A10" s="23" t="inlineStr">
        <is>
          <t>rgn_the_shoulder</t>
        </is>
      </c>
      <c r="B10" s="23" t="inlineStr">
        <is>
          <t>the Shoulder</t>
        </is>
      </c>
      <c r="C10" s="23" t="inlineStr">
        <is>
          <t>east</t>
        </is>
      </c>
      <c r="D10" s="23" t="inlineStr">
        <is>
          <t>spiritually: the only place on the map everyone agrees is different, and nobody agrees why</t>
        </is>
      </c>
      <c r="E10" s="23" t="inlineStr">
        <is>
          <t>the mountain wall itself -- no scar, because nothing happened to it; it is simply higher than anywhere people can live</t>
        </is>
      </c>
      <c r="F10" s="23" t="inlineStr">
        <is>
          <t>the veil is thin and the dead are near</t>
        </is>
      </c>
      <c r="G10" s="23" t="inlineStr">
        <is>
          <t>the air thins and the body fails; men see things because they are suffocating slowly</t>
        </is>
      </c>
      <c r="H10" s="23" t="inlineStr">
        <is>
          <t>sect_march</t>
        </is>
      </c>
      <c r="I10" s="23" t="n"/>
      <c r="J10" s="23" t="inlineStr">
        <is>
          <t>Above the treeline nothing grows. ONE PHENOMENON, FIVE READINGS: the Continuing Word says the veil is thin; the court sect says thin air makes men foolish; the Company does not go, because there is nothing up there to trade with; the Unstained say it is the only ground clean enough to matter; the silent are already up there and will not discuss it. The Throat is the one gap through the wall, which is why the road is worth what it is worth.</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H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8" customWidth="1" style="17" min="2" max="3"/>
    <col width="20" customWidth="1" style="17" min="4" max="4"/>
    <col width="40" customWidth="1" style="17" min="5" max="6"/>
    <col width="44" customWidth="1" style="17" min="7" max="8"/>
  </cols>
  <sheetData>
    <row r="1" ht="30" customHeight="1" s="18">
      <c r="A1" s="21" t="inlineStr">
        <is>
          <t>named_id</t>
        </is>
      </c>
      <c r="B1" s="21" t="inlineStr">
        <is>
          <t>name</t>
        </is>
      </c>
      <c r="C1" s="21" t="inlineStr">
        <is>
          <t>region_id</t>
        </is>
      </c>
      <c r="D1" s="21" t="inlineStr">
        <is>
          <t>pact_object</t>
        </is>
      </c>
      <c r="E1" s="21" t="inlineStr">
        <is>
          <t>terms</t>
        </is>
      </c>
      <c r="F1" s="21" t="inlineStr">
        <is>
          <t>defection_trigger</t>
        </is>
      </c>
      <c r="G1" s="21" t="inlineStr">
        <is>
          <t>signature_mechanic</t>
        </is>
      </c>
      <c r="H1" s="21" t="inlineStr">
        <is>
          <t>notes</t>
        </is>
      </c>
    </row>
    <row r="2" ht="23.25" customHeight="1" s="18">
      <c r="A2" s="23" t="inlineStr">
        <is>
          <t>nmd_simurgh</t>
        </is>
      </c>
      <c r="B2" s="23" t="inlineStr">
        <is>
          <t>the Simurgh</t>
        </is>
      </c>
      <c r="C2" s="23" t="inlineStr">
        <is>
          <t>rgn_drowned_march</t>
        </is>
      </c>
      <c r="D2" s="23" t="inlineStr">
        <is>
          <t>the feather</t>
        </is>
      </c>
      <c r="E2" s="23" t="inlineStr">
        <is>
          <t>answers whoever holds the feather, and answers anyone who holds it</t>
        </is>
      </c>
      <c r="F2" s="23" t="inlineStr">
        <is>
          <t>the feather changes hands; she arrives green and stops being green</t>
        </is>
      </c>
      <c r="G2" s="23" t="inlineStr">
        <is>
          <t>5 HP/turn to rider and adjacent allies (flat, not percentage)</t>
        </is>
      </c>
      <c r="H2" s="23" t="inlineStr">
        <is>
          <t>cleanses corruption; the only thing that can strip a pact without a Pardoner, and will not do it on request</t>
        </is>
      </c>
    </row>
    <row r="3" ht="34.5" customHeight="1" s="18">
      <c r="A3" s="23" t="inlineStr">
        <is>
          <t>nmd_huma</t>
        </is>
      </c>
      <c r="B3" s="23" t="inlineStr">
        <is>
          <t>the Huma</t>
        </is>
      </c>
      <c r="C3" s="23" t="inlineStr">
        <is>
          <t>rgn_the_throat</t>
        </is>
      </c>
      <c r="D3" s="23" t="inlineStr">
        <is>
          <t>no seal; it cannot be owned</t>
        </is>
      </c>
      <c r="E3" s="23" t="inlineStr">
        <is>
          <t>cannot be owned, only flown under; its shadow legitimizes whoever it falls on</t>
        </is>
      </c>
      <c r="F3" s="23" t="inlineStr">
        <is>
          <t>never defects because it was never yours</t>
        </is>
      </c>
      <c r="G3" s="23" t="inlineStr">
        <is>
          <t>MAP HAZARD, NOT A MOUNT: drifts overhead; marked units gain stats and become targeting priority for every enemy</t>
        </is>
      </c>
      <c r="H3" s="23" t="inlineStr">
        <is>
          <t>kill-taboo: whoever lands the blow dies in forty days, no reload undoes it</t>
        </is>
      </c>
    </row>
    <row r="4" ht="23.25" customHeight="1" s="18">
      <c r="A4" s="23" t="inlineStr">
        <is>
          <t>nmd_anzu</t>
        </is>
      </c>
      <c r="B4" s="23" t="inlineStr">
        <is>
          <t>the Anzu</t>
        </is>
      </c>
      <c r="C4" s="23" t="inlineStr">
        <is>
          <t>rgn_glass_flats</t>
        </is>
      </c>
      <c r="D4" s="23" t="inlineStr">
        <is>
          <t>the register itself</t>
        </is>
      </c>
      <c r="E4" s="23" t="inlineStr">
        <is>
          <t>contracts with whoever can READ the register, not who owns it</t>
        </is>
      </c>
      <c r="F4" s="23" t="inlineStr">
        <is>
          <t>someone demonstrates literacy you lack; ties to the hidden-literacy thread</t>
        </is>
      </c>
      <c r="G4" s="23" t="inlineStr">
        <is>
          <t>contact degrades enemy weapons; only bites what is already worn; broken means unarmed, not dead</t>
        </is>
      </c>
      <c r="H4" s="23" t="inlineStr">
        <is>
          <t>COST: weapons it unmakes cannot be captured, so riding it starves your only supply line</t>
        </is>
      </c>
    </row>
    <row r="5" ht="23.25" customHeight="1" s="18">
      <c r="A5" s="23" t="inlineStr">
        <is>
          <t>nmd_karkadann</t>
        </is>
      </c>
      <c r="B5" s="23" t="inlineStr">
        <is>
          <t>the Karkadann</t>
        </is>
      </c>
      <c r="C5" s="23" t="inlineStr">
        <is>
          <t>rgn_ashland</t>
        </is>
      </c>
      <c r="D5" s="23" t="inlineStr">
        <is>
          <t>the nest it guards</t>
        </is>
      </c>
      <c r="E5" s="23" t="inlineStr">
        <is>
          <t>protects what it has decided to protect; nothing negotiates with it</t>
        </is>
      </c>
      <c r="F5" s="23" t="inlineStr">
        <is>
          <t>turns the moment you threaten the doves; state orders and its terms are simply incompatible</t>
        </is>
      </c>
      <c r="G5" s="23" t="inlineStr">
        <is>
          <t>strong against mounted units; devastating charge that leaves it stuck one turn</t>
        </is>
      </c>
      <c r="H5" s="23" t="inlineStr">
        <is>
          <t>the plain one on purpose -- the roster needs one straightforwardly good option</t>
        </is>
      </c>
    </row>
    <row r="6" ht="23.25" customHeight="1" s="18">
      <c r="A6" s="23" t="inlineStr">
        <is>
          <t>nmd_shadhavar</t>
        </is>
      </c>
      <c r="B6" s="23" t="inlineStr">
        <is>
          <t>the Shadhavar</t>
        </is>
      </c>
      <c r="C6" s="23" t="inlineStr">
        <is>
          <t>rgn_stepped_coast</t>
        </is>
      </c>
      <c r="D6" s="23" t="inlineStr">
        <is>
          <t>the song</t>
        </is>
      </c>
      <c r="E6" s="23" t="inlineStr">
        <is>
          <t>pacts through beauty; the lure is what it IS, not a trick it performs</t>
        </is>
      </c>
      <c r="F6" s="23" t="inlineStr">
        <is>
          <t>uncontrolled by design</t>
        </is>
      </c>
      <c r="G6" s="23" t="inlineStr">
        <is>
          <t>every turn, pulls the nearest enemy one tile toward the rider; CANNOT be turned off</t>
        </is>
      </c>
      <c r="H6" s="23" t="inlineStr">
        <is>
          <t>liability on escort maps, asset on defend maps</t>
        </is>
      </c>
    </row>
    <row r="8" ht="15" customHeight="1" s="18">
      <c r="A8" s="25" t="inlineStr">
        <is>
          <t>Four of five pact with an OBJECT (feather, shadow, text, nest, song) -- obligations attach to things in this world. Three-way capture: intact (marked weapon, keeps its ability) / harvest (diminished, permanent grudge) / kill (two materials, better weapon). The Named know each other: kill one and the next will not be captured.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G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14" customWidth="1" style="17" min="3" max="3"/>
    <col width="34" customWidth="1" style="17" min="4" max="4"/>
    <col width="44" customWidth="1" style="17" min="5" max="6"/>
    <col width="16" customWidth="1" style="17" min="7" max="7"/>
  </cols>
  <sheetData>
    <row r="1" ht="30" customHeight="1" s="18">
      <c r="A1" s="21" t="inlineStr">
        <is>
          <t>state_id</t>
        </is>
      </c>
      <c r="B1" s="21" t="inlineStr">
        <is>
          <t>name</t>
        </is>
      </c>
      <c r="C1" s="21" t="inlineStr">
        <is>
          <t>seat</t>
        </is>
      </c>
      <c r="D1" s="21" t="inlineStr">
        <is>
          <t>constitution</t>
        </is>
      </c>
      <c r="E1" s="21" t="inlineStr">
        <is>
          <t>claim_against_the_other</t>
        </is>
      </c>
      <c r="F1" s="21" t="inlineStr">
        <is>
          <t>elevated_in</t>
        </is>
      </c>
      <c r="G1" s="21" t="inlineStr">
        <is>
          <t>court_sect_id</t>
        </is>
      </c>
    </row>
    <row r="2" ht="23.25" customHeight="1" s="18">
      <c r="A2" s="23" t="inlineStr">
        <is>
          <t>st_diadem</t>
        </is>
      </c>
      <c r="B2" s="23" t="inlineStr">
        <is>
          <t>the Diadem</t>
        </is>
      </c>
      <c r="C2" s="23" t="inlineStr">
        <is>
          <t>Kaisareia</t>
        </is>
      </c>
      <c r="D2" s="23" t="inlineStr">
        <is>
          <t>crowned succession; the older claim</t>
        </is>
      </c>
      <c r="E2" s="23" t="inlineStr">
        <is>
          <t>calls the Assembly a usurpation of an office that cannot be elected</t>
        </is>
      </c>
      <c r="F2" s="23" t="inlineStr">
        <is>
          <t>antique: the largest library on the continent, almost none of it originally theirs</t>
        </is>
      </c>
      <c r="G2" s="23" t="inlineStr">
        <is>
          <t>sect_court</t>
        </is>
      </c>
    </row>
    <row r="3" ht="23.25" customHeight="1" s="18">
      <c r="A3" s="23" t="inlineStr">
        <is>
          <t>st_assembly</t>
        </is>
      </c>
      <c r="B3" s="23" t="inlineStr">
        <is>
          <t>the Assembly</t>
        </is>
      </c>
      <c r="C3" s="23" t="inlineStr">
        <is>
          <t>Vetch</t>
        </is>
      </c>
      <c r="D3" s="23" t="inlineStr">
        <is>
          <t>elective succession; assembly of the great houses</t>
        </is>
      </c>
      <c r="E3" s="23" t="inlineStr">
        <is>
          <t>calls the Diadem a crown worn by whoever survived the last one</t>
        </is>
      </c>
      <c r="F3" s="23" t="inlineStr">
        <is>
          <t>socially current: contract law, property held by women, succession by assent</t>
        </is>
      </c>
      <c r="G3" s="23" t="inlineStr">
        <is>
          <t>sect_court</t>
        </is>
      </c>
    </row>
    <row r="5" ht="15" customHeight="1" s="18">
      <c r="A5" s="25" t="inlineStr">
        <is>
          <t>Both successors claim the same inheritance and use the same word for themselves, the way the eastern empire went on calling itself Roman. The war ended; the claim did not. Neither is the villain and neither is right.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I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1" customWidth="1" style="17" min="3" max="3"/>
    <col width="12" customWidth="1" style="17" min="4" max="4"/>
    <col width="8" customWidth="1" style="17" min="5" max="5"/>
    <col width="38" customWidth="1" style="17" min="6" max="6"/>
    <col width="40" customWidth="1" style="17" min="7" max="7"/>
    <col width="15" customWidth="1" style="17" min="8" max="8"/>
    <col width="44" customWidth="1" style="17" min="9" max="9"/>
  </cols>
  <sheetData>
    <row r="1" ht="30" customHeight="1" s="18">
      <c r="A1" s="21" t="inlineStr">
        <is>
          <t>defection_id</t>
        </is>
      </c>
      <c r="B1" s="21" t="inlineStr">
        <is>
          <t>unit_id</t>
        </is>
      </c>
      <c r="C1" s="21" t="inlineStr">
        <is>
          <t>route</t>
        </is>
      </c>
      <c r="D1" s="21" t="inlineStr">
        <is>
          <t>kind</t>
        </is>
      </c>
      <c r="E1" s="21" t="inlineStr">
        <is>
          <t>act</t>
        </is>
      </c>
      <c r="F1" s="21" t="inlineStr">
        <is>
          <t>why_they_were_contingent</t>
        </is>
      </c>
      <c r="G1" s="21" t="inlineStr">
        <is>
          <t>trigger</t>
        </is>
      </c>
      <c r="H1" s="21" t="inlineStr">
        <is>
          <t>recruitable_back</t>
        </is>
      </c>
      <c r="I1" s="21" t="inlineStr">
        <is>
          <t>signposting</t>
        </is>
      </c>
    </row>
    <row r="2" ht="23.25" customHeight="1" s="18">
      <c r="A2" s="23" t="inlineStr">
        <is>
          <t>def_waldrada</t>
        </is>
      </c>
      <c r="B2" s="23" t="inlineStr">
        <is>
          <t>u_waldrada</t>
        </is>
      </c>
      <c r="C2" s="23" t="inlineStr">
        <is>
          <t>diadem</t>
        </is>
      </c>
      <c r="D2" s="23" t="inlineStr">
        <is>
          <t>scripted</t>
        </is>
      </c>
      <c r="E2" s="23" t="inlineStr">
        <is>
          <t>act 2</t>
        </is>
      </c>
      <c r="F2" s="23" t="inlineStr">
        <is>
          <t>serves the state that beat her country; loyalty was always contingent</t>
        </is>
      </c>
      <c r="G2" s="23" t="inlineStr">
        <is>
          <t>the Vashti campaign becomes an occupation she will not carry orders for</t>
        </is>
      </c>
      <c r="H2" s="23" t="inlineStr">
        <is>
          <t>no</t>
        </is>
      </c>
      <c r="I2" s="23" t="inlineStr">
        <is>
          <t>signposted across Act 1 supports and her conduct on sect maps</t>
        </is>
      </c>
    </row>
    <row r="3" ht="23.25" customHeight="1" s="18">
      <c r="A3" s="23" t="inlineStr">
        <is>
          <t>def_anselm</t>
        </is>
      </c>
      <c r="B3" s="23" t="inlineStr">
        <is>
          <t>u_anselm</t>
        </is>
      </c>
      <c r="C3" s="23" t="inlineStr">
        <is>
          <t>assembly</t>
        </is>
      </c>
      <c r="D3" s="23" t="inlineStr">
        <is>
          <t>scripted</t>
        </is>
      </c>
      <c r="E3" s="23" t="inlineStr">
        <is>
          <t>act 2</t>
        </is>
      </c>
      <c r="F3" s="23" t="inlineStr">
        <is>
          <t>theology barometer; has been asking the question the whole game</t>
        </is>
      </c>
      <c r="G3" s="23" t="inlineStr">
        <is>
          <t>the crown answers with the court sect: obedience belongs to the throne</t>
        </is>
      </c>
      <c r="H3" s="23" t="inlineStr">
        <is>
          <t>no</t>
        </is>
      </c>
      <c r="I3" s="23" t="inlineStr">
        <is>
          <t>a theological event, not a grievance; he says so before he goes</t>
        </is>
      </c>
    </row>
    <row r="4" ht="23.25" customHeight="1" s="18">
      <c r="A4" s="23" t="inlineStr">
        <is>
          <t>def_maren</t>
        </is>
      </c>
      <c r="B4" s="23" t="inlineStr">
        <is>
          <t>u_maren</t>
        </is>
      </c>
      <c r="C4" s="23" t="inlineStr">
        <is>
          <t>assembly</t>
        </is>
      </c>
      <c r="D4" s="23" t="inlineStr">
        <is>
          <t>conditional</t>
        </is>
      </c>
      <c r="E4" s="23" t="inlineStr">
        <is>
          <t>act 2</t>
        </is>
      </c>
      <c r="F4" s="23" t="inlineStr">
        <is>
          <t>born of the plague; bound for the Miasma Warden line</t>
        </is>
      </c>
      <c r="G4" s="23" t="inlineStr">
        <is>
          <t>the state's medicine policy writes off the Ashland in triage</t>
        </is>
      </c>
      <c r="H4" s="23" t="inlineStr">
        <is>
          <t>yes</t>
        </is>
      </c>
      <c r="I4" s="23" t="inlineStr">
        <is>
          <t>caused by a supply decision several chapters earlier; reversible by a different one</t>
        </is>
      </c>
    </row>
    <row r="6" ht="15" customHeight="1" s="18">
      <c r="A6" s="25" t="inlineStr">
        <is>
          <t>RULES. One scripted defection per route (the story needs one thing the player cannot optimise away) and one conditional. Defection is not death: they leave the roster, appear later as a lieutenant standing near someone else's seal, and every support chain they earned stays readable. They take their epithets and pact obligations with them, so the title list on that pre-battle screen is one the player generated. Never the boss -- the anti-pact toolkit still governs the fight, so the map can be won without killing them.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outlinePr summaryBelow="1" summaryRight="1"/>
    <pageSetUpPr/>
  </sheetPr>
  <dimension ref="A1:K4"/>
  <sheetViews>
    <sheetView workbookViewId="0">
      <selection activeCell="A1" sqref="A1"/>
    </sheetView>
  </sheetViews>
  <sheetFormatPr baseColWidth="8" defaultRowHeight="15"/>
  <cols>
    <col width="10" customWidth="1" style="18" min="1" max="1"/>
    <col width="8" customWidth="1" style="18" min="2" max="2"/>
    <col width="12" customWidth="1" style="18" min="3" max="3"/>
    <col width="15" customWidth="1" style="18" min="4" max="4"/>
    <col width="17" customWidth="1" style="18" min="5" max="5"/>
    <col width="45" customWidth="1" style="18" min="6" max="6"/>
    <col width="30" customWidth="1" style="18" min="7" max="7"/>
    <col width="45" customWidth="1" style="18" min="8" max="8"/>
    <col width="30" customWidth="1" style="18" min="9" max="9"/>
    <col width="40" customWidth="1" style="18" min="10" max="10"/>
    <col width="40" customWidth="1" style="18" min="11" max="11"/>
  </cols>
  <sheetData>
    <row r="1">
      <c r="A1" s="26" t="inlineStr">
        <is>
          <t>guest_id</t>
        </is>
      </c>
      <c r="B1" s="26" t="inlineStr">
        <is>
          <t>name</t>
        </is>
      </c>
      <c r="C1" s="26" t="inlineStr">
        <is>
          <t>sect_id</t>
        </is>
      </c>
      <c r="D1" s="26" t="inlineStr">
        <is>
          <t>base_class_id</t>
        </is>
      </c>
      <c r="E1" s="26" t="inlineStr">
        <is>
          <t>growth_profile_id</t>
        </is>
      </c>
      <c r="F1" s="26" t="inlineStr">
        <is>
          <t>trigger_condition</t>
        </is>
      </c>
      <c r="G1" s="26" t="inlineStr">
        <is>
          <t>joins</t>
        </is>
      </c>
      <c r="H1" s="26" t="inlineStr">
        <is>
          <t>departs</t>
        </is>
      </c>
      <c r="I1" s="26" t="inlineStr">
        <is>
          <t>support_shape</t>
        </is>
      </c>
      <c r="J1" s="26" t="inlineStr">
        <is>
          <t>off_screen_purpose_on_exit</t>
        </is>
      </c>
      <c r="K1" s="26" t="inlineStr">
        <is>
          <t>act3_payoff</t>
        </is>
      </c>
    </row>
    <row r="2">
      <c r="A2" s="17" t="inlineStr">
        <is>
          <t>gst_anna</t>
        </is>
      </c>
      <c r="B2" s="17" t="inlineStr">
        <is>
          <t>Anna</t>
        </is>
      </c>
      <c r="C2" s="17" t="inlineStr">
        <is>
          <t>sect_march</t>
        </is>
      </c>
      <c r="D2" s="17" t="inlineStr">
        <is>
          <t>cls_tr_faith</t>
        </is>
      </c>
      <c r="E2" s="17" t="inlineStr">
        <is>
          <t>gp_healer</t>
        </is>
      </c>
      <c r="F2" s="17" t="inlineStr">
        <is>
          <t>Fires only if BOTH def_anselm AND def_maren have resolved -- either departure alone does not trigger her; the roster still has one faith unit standing in that case.</t>
        </is>
      </c>
      <c r="G2" s="17" t="inlineStr">
        <is>
          <t>Immediately once both defections have resolved.</t>
        </is>
      </c>
      <c r="H2" s="17" t="inlineStr">
        <is>
          <t>Hard departure by the Act 2/3 reunion (ch_x11-adjacent), regardless of whether Maren is later recovered via her conditional defection's reversibility -- this keeps the roster at 18 units / 153 support chains, she is deliberately not part of that grid.</t>
        </is>
      </c>
      <c r="I2" s="17" t="inlineStr">
        <is>
          <t>No tiered support chain -- one fixed scene instead.</t>
        </is>
      </c>
      <c r="J2" s="17" t="inlineStr">
        <is>
          <t>Continues the Continuing Word's rebaptism fieldwork (prc_rebaptism) off-screen after departing -- cross-referencing parish/decan lists to enroll the plague dead by name.</t>
        </is>
      </c>
      <c r="K2" s="17" t="inlineStr">
        <is>
          <t>RECONSTRUCTION GAP -- not included in the changelog summary this row was built from; needs the real text from the source session (see calendar's decan-token row, which references this field directly).</t>
        </is>
      </c>
    </row>
    <row r="3">
      <c r="A3" s="17" t="inlineStr">
        <is>
          <t>PRINCIPLE -- guest units exist to cover a class niche a scripted/conditional removal could zero out, without bending the departing character's own arc to protect roster math. Modeled on FFXII's guest-character pattern: narrative weight lives almost entirely outside combat tenure, not inside it.</t>
        </is>
      </c>
    </row>
    <row r="4">
      <c r="A4" s="17" t="inlineStr">
        <is>
          <t>RECONSTRUCTED 2026-09-15 by a Claude Code session from a changelog summary of edits made in a separate Claude.ai session on this same workbook -- not copied verbatim from that session's actual file. Field text for trigger_condition/joins/departs/support_shape/off_screen_purpose_on_exit is a faithful reconstruction of what the changelog described; act3_payoff is a known gap (see that column's note). Verify against the source session if exact wording matters.</t>
        </is>
      </c>
    </row>
  </sheetData>
  <pageMargins left="0.75" right="0.75" top="1" bottom="1" header="0.5" footer="0.5"/>
</worksheet>
</file>

<file path=xl/worksheets/sheet23.xml><?xml version="1.0" encoding="utf-8"?>
<worksheet xmlns="http://schemas.openxmlformats.org/spreadsheetml/2006/main">
  <sheetPr filterMode="0">
    <outlinePr summaryBelow="1" summaryRight="1"/>
    <pageSetUpPr fitToPage="0"/>
  </sheetPr>
  <dimension ref="A1:G3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34" customWidth="1" style="17" min="2" max="2"/>
    <col width="20" customWidth="1" style="17" min="3" max="3"/>
    <col width="11" customWidth="1" style="17" min="4" max="4"/>
    <col width="14" customWidth="1" style="17" min="5" max="5"/>
    <col width="12" customWidth="1" style="17" min="6" max="6"/>
    <col width="62" customWidth="1" style="17" min="7" max="7"/>
  </cols>
  <sheetData>
    <row r="1" ht="30" customHeight="1" s="18">
      <c r="A1" s="21" t="inlineStr">
        <is>
          <t>location_id</t>
        </is>
      </c>
      <c r="B1" s="21" t="inlineStr">
        <is>
          <t>name</t>
        </is>
      </c>
      <c r="C1" s="21" t="inlineStr">
        <is>
          <t>region_id</t>
        </is>
      </c>
      <c r="D1" s="21" t="inlineStr">
        <is>
          <t>route</t>
        </is>
      </c>
      <c r="E1" s="21" t="inlineStr">
        <is>
          <t>chapters</t>
        </is>
      </c>
      <c r="F1" s="21" t="inlineStr">
        <is>
          <t>acts</t>
        </is>
      </c>
      <c r="G1" s="21" t="inlineStr">
        <is>
          <t>what_the_ground_is_for</t>
        </is>
      </c>
    </row>
    <row r="2" ht="15" customHeight="1" s="18">
      <c r="A2" s="23" t="inlineStr">
        <is>
          <t>loc_tally_house</t>
        </is>
      </c>
      <c r="B2" s="23" t="inlineStr">
        <is>
          <t>Kaisareia dockside, the tally house</t>
        </is>
      </c>
      <c r="C2" s="23" t="inlineStr">
        <is>
          <t>rgn_center</t>
        </is>
      </c>
      <c r="D2" s="23" t="inlineStr">
        <is>
          <t>diadem</t>
        </is>
      </c>
      <c r="E2" s="23" t="inlineStr">
        <is>
          <t>1, 26</t>
        </is>
      </c>
      <c r="F2" s="23" t="inlineStr">
        <is>
          <t>1, 3</t>
        </is>
      </c>
      <c r="G2" s="23" t="inlineStr">
        <is>
          <t>night docks, neutral porters; where the avatar starts as a clerk</t>
        </is>
      </c>
    </row>
    <row r="3" ht="15" customHeight="1" s="18">
      <c r="A3" s="23" t="inlineStr">
        <is>
          <t>loc_weighbridge</t>
        </is>
      </c>
      <c r="B3" s="23" t="inlineStr">
        <is>
          <t>The weighbridge, lowland estates</t>
        </is>
      </c>
      <c r="C3" s="23" t="inlineStr">
        <is>
          <t>rgn_center</t>
        </is>
      </c>
      <c r="D3" s="23" t="inlineStr">
        <is>
          <t>diadem</t>
        </is>
      </c>
      <c r="E3" s="23" t="inlineStr">
        <is>
          <t>2</t>
        </is>
      </c>
      <c r="F3" s="23" t="inlineStr">
        <is>
          <t>1</t>
        </is>
      </c>
      <c r="G3" s="23" t="inlineStr">
        <is>
          <t>hedgerow country; a requisition writ enforced on a reluctant house</t>
        </is>
      </c>
    </row>
    <row r="4" ht="15" customHeight="1" s="18">
      <c r="A4" s="23" t="inlineStr">
        <is>
          <t>loc_grain_road</t>
        </is>
      </c>
      <c r="B4" s="23" t="inlineStr">
        <is>
          <t>The grain road</t>
        </is>
      </c>
      <c r="C4" s="23" t="inlineStr">
        <is>
          <t>rgn_center</t>
        </is>
      </c>
      <c r="D4" s="23" t="inlineStr">
        <is>
          <t>diadem</t>
        </is>
      </c>
      <c r="E4" s="23" t="inlineStr">
        <is>
          <t>3, 24</t>
        </is>
      </c>
      <c r="F4" s="23" t="inlineStr">
        <is>
          <t>1, 3</t>
        </is>
      </c>
      <c r="G4" s="23" t="inlineStr">
        <is>
          <t>bridge choke and a foot-only ford; wagons move 4</t>
        </is>
      </c>
    </row>
    <row r="5" ht="15" customHeight="1" s="18">
      <c r="A5" s="23" t="inlineStr">
        <is>
          <t>loc_thessala</t>
        </is>
      </c>
      <c r="B5" s="23" t="inlineStr">
        <is>
          <t>Thessala harbour</t>
        </is>
      </c>
      <c r="C5" s="23" t="inlineStr">
        <is>
          <t>rgn_center</t>
        </is>
      </c>
      <c r="D5" s="23" t="inlineStr">
        <is>
          <t>diadem</t>
        </is>
      </c>
      <c r="E5" s="23" t="inlineStr">
        <is>
          <t>4</t>
        </is>
      </c>
      <c r="F5" s="23" t="inlineStr">
        <is>
          <t>1</t>
        </is>
      </c>
      <c r="G5" s="23" t="inlineStr">
        <is>
          <t>south coast; grain bought abroad, unloaded under protest</t>
        </is>
      </c>
    </row>
    <row r="6" ht="15" customHeight="1" s="18">
      <c r="A6" s="23" t="inlineStr">
        <is>
          <t>loc_salt_ford</t>
        </is>
      </c>
      <c r="B6" s="23" t="inlineStr">
        <is>
          <t>The salt ford, lower Scar</t>
        </is>
      </c>
      <c r="C6" s="23" t="inlineStr">
        <is>
          <t>rgn_center</t>
        </is>
      </c>
      <c r="D6" s="23" t="inlineStr">
        <is>
          <t>diadem</t>
        </is>
      </c>
      <c r="E6" s="23" t="inlineStr">
        <is>
          <t>5, 27</t>
        </is>
      </c>
      <c r="F6" s="23" t="inlineStr">
        <is>
          <t>1, 3</t>
        </is>
      </c>
      <c r="G6" s="23" t="inlineStr">
        <is>
          <t>the rift crossed where it is shallow; the only southern crossing</t>
        </is>
      </c>
    </row>
    <row r="7" ht="15" customHeight="1" s="18">
      <c r="A7" s="23" t="inlineStr">
        <is>
          <t>loc_anthe</t>
        </is>
      </c>
      <c r="B7" s="23" t="inlineStr">
        <is>
          <t>Anthe, on the terraces</t>
        </is>
      </c>
      <c r="C7" s="23" t="inlineStr">
        <is>
          <t>rgn_stepped_coast</t>
        </is>
      </c>
      <c r="D7" s="23" t="inlineStr">
        <is>
          <t>diadem</t>
        </is>
      </c>
      <c r="E7" s="23" t="inlineStr">
        <is>
          <t>6</t>
        </is>
      </c>
      <c r="F7" s="23" t="inlineStr">
        <is>
          <t>1</t>
        </is>
      </c>
      <c r="G7" s="23" t="inlineStr">
        <is>
          <t>a port stranded above its own water; three levels of street</t>
        </is>
      </c>
    </row>
    <row r="8" ht="15" customHeight="1" s="18">
      <c r="A8" s="23" t="inlineStr">
        <is>
          <t>loc_stranded_harbour</t>
        </is>
      </c>
      <c r="B8" s="23" t="inlineStr">
        <is>
          <t>The stranded harbour</t>
        </is>
      </c>
      <c r="C8" s="23" t="inlineStr">
        <is>
          <t>rgn_stepped_coast</t>
        </is>
      </c>
      <c r="D8" s="23" t="inlineStr">
        <is>
          <t>diadem</t>
        </is>
      </c>
      <c r="E8" s="23" t="inlineStr">
        <is>
          <t>7</t>
        </is>
      </c>
      <c r="F8" s="23" t="inlineStr">
        <is>
          <t>1</t>
        </is>
      </c>
      <c r="G8" s="23" t="inlineStr">
        <is>
          <t>ruin on the middle terrace; the renunciants live in it</t>
        </is>
      </c>
    </row>
    <row r="9" ht="15" customHeight="1" s="18">
      <c r="A9" s="23" t="inlineStr">
        <is>
          <t>loc_dry_country</t>
        </is>
      </c>
      <c r="B9" s="23" t="inlineStr">
        <is>
          <t>The dry country</t>
        </is>
      </c>
      <c r="C9" s="23" t="inlineStr">
        <is>
          <t>rgn_center</t>
        </is>
      </c>
      <c r="D9" s="23" t="inlineStr">
        <is>
          <t>diadem</t>
        </is>
      </c>
      <c r="E9" s="23" t="inlineStr">
        <is>
          <t>8, 23</t>
        </is>
      </c>
      <c r="F9" s="23" t="inlineStr">
        <is>
          <t>1, 3</t>
        </is>
      </c>
      <c r="G9" s="23" t="inlineStr">
        <is>
          <t>open ground, no cover, the map that punishes slow armies</t>
        </is>
      </c>
    </row>
    <row r="10" ht="15" customHeight="1" s="18">
      <c r="A10" s="23" t="inlineStr">
        <is>
          <t>loc_vashti_road</t>
        </is>
      </c>
      <c r="B10" s="23" t="inlineStr">
        <is>
          <t>The Vashti road</t>
        </is>
      </c>
      <c r="C10" s="23" t="inlineStr">
        <is>
          <t>rgn_ashland</t>
        </is>
      </c>
      <c r="D10" s="23" t="inlineStr">
        <is>
          <t>diadem</t>
        </is>
      </c>
      <c r="E10" s="23" t="inlineStr">
        <is>
          <t>9</t>
        </is>
      </c>
      <c r="F10" s="23" t="inlineStr">
        <is>
          <t>1</t>
        </is>
      </c>
      <c r="G10" s="23" t="inlineStr">
        <is>
          <t>the single road east; lava fans narrow it to one lane in places</t>
        </is>
      </c>
    </row>
    <row r="11" ht="15" customHeight="1" s="18">
      <c r="A11" s="23" t="inlineStr">
        <is>
          <t>loc_vashti_gate</t>
        </is>
      </c>
      <c r="B11" s="23" t="inlineStr">
        <is>
          <t>Vashti gate</t>
        </is>
      </c>
      <c r="C11" s="23" t="inlineStr">
        <is>
          <t>rgn_ashland</t>
        </is>
      </c>
      <c r="D11" s="23" t="inlineStr">
        <is>
          <t>diadem</t>
        </is>
      </c>
      <c r="E11" s="23" t="inlineStr">
        <is>
          <t>10, 12, 28</t>
        </is>
      </c>
      <c r="F11" s="23" t="inlineStr">
        <is>
          <t>1, 2, 3</t>
        </is>
      </c>
      <c r="G11" s="23" t="inlineStr">
        <is>
          <t>the occupied seat; the Unstained will not talk to you</t>
        </is>
      </c>
    </row>
    <row r="12" ht="15" customHeight="1" s="18">
      <c r="A12" s="23" t="inlineStr">
        <is>
          <t>loc_vetch_gate</t>
        </is>
      </c>
      <c r="B12" s="23" t="inlineStr">
        <is>
          <t>Vetch, the winter dole</t>
        </is>
      </c>
      <c r="C12" s="23" t="inlineStr">
        <is>
          <t>rgn_drowned_march</t>
        </is>
      </c>
      <c r="D12" s="23" t="inlineStr">
        <is>
          <t>assembly</t>
        </is>
      </c>
      <c r="E12" s="23" t="inlineStr">
        <is>
          <t>1, 26</t>
        </is>
      </c>
      <c r="F12" s="23" t="inlineStr">
        <is>
          <t>1, 3</t>
        </is>
      </c>
      <c r="G12" s="23" t="inlineStr">
        <is>
          <t>medicine cart to a gate; civilians chase it, looters follow</t>
        </is>
      </c>
    </row>
    <row r="13" ht="15" customHeight="1" s="18">
      <c r="A13" s="23" t="inlineStr">
        <is>
          <t>loc_still_town</t>
        </is>
      </c>
      <c r="B13" s="23" t="inlineStr">
        <is>
          <t>The apothecary town</t>
        </is>
      </c>
      <c r="C13" s="23" t="inlineStr">
        <is>
          <t>rgn_drowned_march</t>
        </is>
      </c>
      <c r="D13" s="23" t="inlineStr">
        <is>
          <t>assembly</t>
        </is>
      </c>
      <c r="E13" s="23" t="inlineStr">
        <is>
          <t>2</t>
        </is>
      </c>
      <c r="F13" s="23" t="inlineStr">
        <is>
          <t>1</t>
        </is>
      </c>
      <c r="G13" s="23" t="inlineStr">
        <is>
          <t>three streets of different widths; a preacher converting one a turn</t>
        </is>
      </c>
    </row>
    <row r="14" ht="15" customHeight="1" s="18">
      <c r="A14" s="23" t="inlineStr">
        <is>
          <t>loc_chapterhouse</t>
        </is>
      </c>
      <c r="B14" s="23" t="inlineStr">
        <is>
          <t>The ruined chapterhouse</t>
        </is>
      </c>
      <c r="C14" s="23" t="inlineStr">
        <is>
          <t>rgn_drowned_march</t>
        </is>
      </c>
      <c r="D14" s="23" t="inlineStr">
        <is>
          <t>assembly</t>
        </is>
      </c>
      <c r="E14" s="23" t="inlineStr">
        <is>
          <t>3</t>
        </is>
      </c>
      <c r="F14" s="23" t="inlineStr">
        <is>
          <t>1</t>
        </is>
      </c>
      <c r="G14" s="23" t="inlineStr">
        <is>
          <t>escape map; relic hunters reinforce forever; a reliquary to take or give</t>
        </is>
      </c>
    </row>
    <row r="15" ht="15" customHeight="1" s="18">
      <c r="A15" s="23" t="inlineStr">
        <is>
          <t>loc_halder</t>
        </is>
      </c>
      <c r="B15" s="23" t="inlineStr">
        <is>
          <t>Halder harbour</t>
        </is>
      </c>
      <c r="C15" s="23" t="inlineStr">
        <is>
          <t>rgn_drowned_march</t>
        </is>
      </c>
      <c r="D15" s="23" t="inlineStr">
        <is>
          <t>assembly</t>
        </is>
      </c>
      <c r="E15" s="23" t="inlineStr">
        <is>
          <t>4</t>
        </is>
      </c>
      <c r="F15" s="23" t="inlineStr">
        <is>
          <t>1</t>
        </is>
      </c>
      <c r="G15" s="23" t="inlineStr">
        <is>
          <t>north coast; exotic medicines bought from people who know it</t>
        </is>
      </c>
    </row>
    <row r="16" ht="15" customHeight="1" s="18">
      <c r="A16" s="23" t="inlineStr">
        <is>
          <t>loc_lake_shore</t>
        </is>
      </c>
      <c r="B16" s="23" t="inlineStr">
        <is>
          <t>The lake shore</t>
        </is>
      </c>
      <c r="C16" s="23" t="inlineStr">
        <is>
          <t>rgn_drowned_march</t>
        </is>
      </c>
      <c r="D16" s="23" t="inlineStr">
        <is>
          <t>assembly</t>
        </is>
      </c>
      <c r="E16" s="23" t="inlineStr">
        <is>
          <t>5, 25</t>
        </is>
      </c>
      <c r="F16" s="23" t="inlineStr">
        <is>
          <t>1, 3</t>
        </is>
      </c>
      <c r="G16" s="23" t="inlineStr">
        <is>
          <t>the drowned town; a bell tower breaking the surface in dry years</t>
        </is>
      </c>
    </row>
    <row r="17" ht="15" customHeight="1" s="18">
      <c r="A17" s="23" t="inlineStr">
        <is>
          <t>loc_ostrova</t>
        </is>
      </c>
      <c r="B17" s="23" t="inlineStr">
        <is>
          <t>Ostrova and the marches</t>
        </is>
      </c>
      <c r="C17" s="23" t="inlineStr">
        <is>
          <t>rgn_drowned_march</t>
        </is>
      </c>
      <c r="D17" s="23" t="inlineStr">
        <is>
          <t>assembly</t>
        </is>
      </c>
      <c r="E17" s="23" t="inlineStr">
        <is>
          <t>6</t>
        </is>
      </c>
      <c r="F17" s="23" t="inlineStr">
        <is>
          <t>1</t>
        </is>
      </c>
      <c r="G17" s="23" t="inlineStr">
        <is>
          <t>steppe edge; the Assembly's eastern city, closer to the Plains than to Vetch</t>
        </is>
      </c>
    </row>
    <row r="18" ht="15" customHeight="1" s="18">
      <c r="A18" s="23" t="inlineStr">
        <is>
          <t>loc_upper_scar</t>
        </is>
      </c>
      <c r="B18" s="23" t="inlineStr">
        <is>
          <t>The upper Scar</t>
        </is>
      </c>
      <c r="C18" s="23" t="inlineStr">
        <is>
          <t>rgn_drowned_march</t>
        </is>
      </c>
      <c r="D18" s="23" t="inlineStr">
        <is>
          <t>assembly</t>
        </is>
      </c>
      <c r="E18" s="23" t="inlineStr">
        <is>
          <t>7, 27</t>
        </is>
      </c>
      <c r="F18" s="23" t="inlineStr">
        <is>
          <t>1, 3</t>
        </is>
      </c>
      <c r="G18" s="23" t="inlineStr">
        <is>
          <t>escarpment fighting; the rift where it is still a cliff</t>
        </is>
      </c>
    </row>
    <row r="19" ht="15" customHeight="1" s="18">
      <c r="A19" s="23" t="inlineStr">
        <is>
          <t>loc_timber_road</t>
        </is>
      </c>
      <c r="B19" s="23" t="inlineStr">
        <is>
          <t>The timber road</t>
        </is>
      </c>
      <c r="C19" s="23" t="inlineStr">
        <is>
          <t>rgn_drowned_march</t>
        </is>
      </c>
      <c r="D19" s="23" t="inlineStr">
        <is>
          <t>assembly</t>
        </is>
      </c>
      <c r="E19" s="23" t="inlineStr">
        <is>
          <t>8, 23</t>
        </is>
      </c>
      <c r="F19" s="23" t="inlineStr">
        <is>
          <t>1, 3</t>
        </is>
      </c>
      <c r="G19" s="23" t="inlineStr">
        <is>
          <t>forest; the map where fliers are worthless and archers are not</t>
        </is>
      </c>
    </row>
    <row r="20" ht="15" customHeight="1" s="18">
      <c r="A20" s="23" t="inlineStr">
        <is>
          <t>loc_march_shrine</t>
        </is>
      </c>
      <c r="B20" s="23" t="inlineStr">
        <is>
          <t>The March shrine</t>
        </is>
      </c>
      <c r="C20" s="23" t="inlineStr">
        <is>
          <t>rgn_drowned_march</t>
        </is>
      </c>
      <c r="D20" s="23" t="inlineStr">
        <is>
          <t>assembly</t>
        </is>
      </c>
      <c r="E20" s="23" t="inlineStr">
        <is>
          <t>9</t>
        </is>
      </c>
      <c r="F20" s="23" t="inlineStr">
        <is>
          <t>1</t>
        </is>
      </c>
      <c r="G20" s="23" t="inlineStr">
        <is>
          <t>living prophecy; a sect that thinks revelation never stopped</t>
        </is>
      </c>
    </row>
    <row r="21" ht="15" customHeight="1" s="18">
      <c r="A21" s="23" t="inlineStr">
        <is>
          <t>loc_vetch_chapel</t>
        </is>
      </c>
      <c r="B21" s="23" t="inlineStr">
        <is>
          <t>The King's Chapel, Vetch</t>
        </is>
      </c>
      <c r="C21" s="23" t="inlineStr">
        <is>
          <t>rgn_drowned_march</t>
        </is>
      </c>
      <c r="D21" s="23" t="inlineStr">
        <is>
          <t>assembly</t>
        </is>
      </c>
      <c r="E21" s="23" t="inlineStr">
        <is>
          <t>10, 12, 28</t>
        </is>
      </c>
      <c r="F21" s="23" t="inlineStr">
        <is>
          <t>1, 2, 3</t>
        </is>
      </c>
      <c r="G21" s="23" t="inlineStr">
        <is>
          <t>the court sect at home; obedience belongs to the throne</t>
        </is>
      </c>
    </row>
    <row r="22" ht="15" customHeight="1" s="18">
      <c r="A22" s="23" t="inlineStr">
        <is>
          <t>loc_muster_field</t>
        </is>
      </c>
      <c r="B22" s="23" t="inlineStr">
        <is>
          <t>The muster field</t>
        </is>
      </c>
      <c r="C22" s="23" t="inlineStr">
        <is>
          <t>rgn_center</t>
        </is>
      </c>
      <c r="D22" s="23" t="inlineStr">
        <is>
          <t>both</t>
        </is>
      </c>
      <c r="E22" s="23" t="inlineStr">
        <is>
          <t>11, 30</t>
        </is>
      </c>
      <c r="F22" s="23" t="inlineStr">
        <is>
          <t>2, 3</t>
        </is>
      </c>
      <c r="G22" s="23" t="inlineStr">
        <is>
          <t>largest map; whole army deployed once; two timed objectives, one force</t>
        </is>
      </c>
    </row>
    <row r="23" ht="15" customHeight="1" s="18">
      <c r="A23" s="23" t="inlineStr">
        <is>
          <t>loc_cinder_track</t>
        </is>
      </c>
      <c r="B23" s="23" t="inlineStr">
        <is>
          <t>The cinder track</t>
        </is>
      </c>
      <c r="C23" s="23" t="inlineStr">
        <is>
          <t>rgn_ashland</t>
        </is>
      </c>
      <c r="D23" s="23" t="inlineStr">
        <is>
          <t>both</t>
        </is>
      </c>
      <c r="E23" s="23" t="inlineStr">
        <is>
          <t>14, 16</t>
        </is>
      </c>
      <c r="F23" s="23" t="inlineStr">
        <is>
          <t>2</t>
        </is>
      </c>
      <c r="G23" s="23" t="inlineStr">
        <is>
          <t>column A; ash underfoot, bad air, the Karkadann's country</t>
        </is>
      </c>
    </row>
    <row r="24" ht="15" customHeight="1" s="18">
      <c r="A24" s="23" t="inlineStr">
        <is>
          <t>loc_caravanserai</t>
        </is>
      </c>
      <c r="B24" s="23" t="inlineStr">
        <is>
          <t>Lade caravanserai</t>
        </is>
      </c>
      <c r="C24" s="23" t="inlineStr">
        <is>
          <t>rgn_the_throat</t>
        </is>
      </c>
      <c r="D24" s="23" t="inlineStr">
        <is>
          <t>both</t>
        </is>
      </c>
      <c r="E24" s="23" t="inlineStr">
        <is>
          <t>13, 15</t>
        </is>
      </c>
      <c r="F24" s="23" t="inlineStr">
        <is>
          <t>2</t>
        </is>
      </c>
      <c r="G24" s="23" t="inlineStr">
        <is>
          <t>column B; prices rise every turn a fight is visible in the bazaar</t>
        </is>
      </c>
    </row>
    <row r="25" ht="15" customHeight="1" s="18">
      <c r="A25" s="23" t="inlineStr">
        <is>
          <t>loc_throat_pass</t>
        </is>
      </c>
      <c r="B25" s="23" t="inlineStr">
        <is>
          <t>The Throat pass</t>
        </is>
      </c>
      <c r="C25" s="23" t="inlineStr">
        <is>
          <t>rgn_the_throat</t>
        </is>
      </c>
      <c r="D25" s="23" t="inlineStr">
        <is>
          <t>both</t>
        </is>
      </c>
      <c r="E25" s="23" t="inlineStr">
        <is>
          <t>17, 19</t>
        </is>
      </c>
      <c r="F25" s="23" t="inlineStr">
        <is>
          <t>2</t>
        </is>
      </c>
      <c r="G25" s="23" t="inlineStr">
        <is>
          <t>column B; the road east, held by whoever taxes it this year</t>
        </is>
      </c>
    </row>
    <row r="26" ht="15" customHeight="1" s="18">
      <c r="A26" s="23" t="inlineStr">
        <is>
          <t>loc_glass_edge</t>
        </is>
      </c>
      <c r="B26" s="23" t="inlineStr">
        <is>
          <t>The edge of the Glass Flats</t>
        </is>
      </c>
      <c r="C26" s="23" t="inlineStr">
        <is>
          <t>rgn_glass_flats</t>
        </is>
      </c>
      <c r="D26" s="23" t="inlineStr">
        <is>
          <t>both</t>
        </is>
      </c>
      <c r="E26" s="23" t="inlineStr">
        <is>
          <t>18, 29</t>
        </is>
      </c>
      <c r="F26" s="23" t="inlineStr">
        <is>
          <t>2, 3</t>
        </is>
      </c>
      <c r="G26" s="23" t="inlineStr">
        <is>
          <t>column A; straight-edged fused ground, nothing grows, nobody agrees why</t>
        </is>
      </c>
    </row>
    <row r="27" ht="15" customHeight="1" s="18">
      <c r="A27" s="23" t="inlineStr">
        <is>
          <t>loc_reunion_field</t>
        </is>
      </c>
      <c r="B27" s="23" t="inlineStr">
        <is>
          <t>The reunion</t>
        </is>
      </c>
      <c r="C27" s="23" t="inlineStr">
        <is>
          <t>rgn_center</t>
        </is>
      </c>
      <c r="D27" s="23" t="inlineStr">
        <is>
          <t>both</t>
        </is>
      </c>
      <c r="E27" s="23" t="inlineStr">
        <is>
          <t>20</t>
        </is>
      </c>
      <c r="F27" s="23" t="inlineStr">
        <is>
          <t>2</t>
        </is>
      </c>
      <c r="G27" s="23" t="inlineStr">
        <is>
          <t>columns meet; whatever each lost is visible in what each brings</t>
        </is>
      </c>
    </row>
    <row r="28" ht="15" customHeight="1" s="18">
      <c r="A28" s="23" t="inlineStr">
        <is>
          <t>loc_kaisareia_walls</t>
        </is>
      </c>
      <c r="B28" s="23" t="inlineStr">
        <is>
          <t>Kaisareia, the granary district</t>
        </is>
      </c>
      <c r="C28" s="23" t="inlineStr">
        <is>
          <t>rgn_center</t>
        </is>
      </c>
      <c r="D28" s="23" t="inlineStr">
        <is>
          <t>both</t>
        </is>
      </c>
      <c r="E28" s="23" t="inlineStr">
        <is>
          <t>21, 22</t>
        </is>
      </c>
      <c r="F28" s="23" t="inlineStr">
        <is>
          <t>3</t>
        </is>
      </c>
      <c r="G28" s="23" t="inlineStr">
        <is>
          <t>the capital as a battlefield; the synod's colossus is fed from here</t>
        </is>
      </c>
    </row>
    <row r="29" ht="15" customHeight="1" s="18">
      <c r="A29" s="23" t="inlineStr">
        <is>
          <t>loc_simurgh_nest</t>
        </is>
      </c>
      <c r="B29" s="23" t="inlineStr">
        <is>
          <t>The mountain above the lake</t>
        </is>
      </c>
      <c r="C29" s="23" t="inlineStr">
        <is>
          <t>rgn_drowned_march</t>
        </is>
      </c>
      <c r="D29" s="23" t="inlineStr">
        <is>
          <t>both</t>
        </is>
      </c>
      <c r="E29" s="23" t="inlineStr">
        <is>
          <t>P</t>
        </is>
      </c>
      <c r="F29" s="23" t="inlineStr">
        <is>
          <t>paralogue</t>
        </is>
      </c>
      <c r="G29" s="23" t="inlineStr">
        <is>
          <t>the Simurgh; a foster-mother who answers whoever holds the feather</t>
        </is>
      </c>
    </row>
    <row r="30" ht="15" customHeight="1" s="18">
      <c r="A30" s="23" t="inlineStr">
        <is>
          <t>loc_dove_colony</t>
        </is>
      </c>
      <c r="B30" s="23" t="inlineStr">
        <is>
          <t>The dove colony</t>
        </is>
      </c>
      <c r="C30" s="23" t="inlineStr">
        <is>
          <t>rgn_ashland</t>
        </is>
      </c>
      <c r="D30" s="23" t="inlineStr">
        <is>
          <t>both</t>
        </is>
      </c>
      <c r="E30" s="23" t="inlineStr">
        <is>
          <t>P</t>
        </is>
      </c>
      <c r="F30" s="23" t="inlineStr">
        <is>
          <t>paralogue</t>
        </is>
      </c>
      <c r="G30" s="23" t="inlineStr">
        <is>
          <t>the Karkadann; it guards what it has decided to guard</t>
        </is>
      </c>
    </row>
    <row r="31" ht="15" customHeight="1" s="18">
      <c r="A31" s="23" t="inlineStr">
        <is>
          <t>loc_flats_interior</t>
        </is>
      </c>
      <c r="B31" s="23" t="inlineStr">
        <is>
          <t>The interior of the Flats</t>
        </is>
      </c>
      <c r="C31" s="23" t="inlineStr">
        <is>
          <t>rgn_glass_flats</t>
        </is>
      </c>
      <c r="D31" s="23" t="inlineStr">
        <is>
          <t>both</t>
        </is>
      </c>
      <c r="E31" s="23" t="inlineStr">
        <is>
          <t>P</t>
        </is>
      </c>
      <c r="F31" s="23" t="inlineStr">
        <is>
          <t>paralogue</t>
        </is>
      </c>
      <c r="G31" s="23" t="inlineStr">
        <is>
          <t>the Anzu; arrows come apart, and it reads what you cannot</t>
        </is>
      </c>
    </row>
    <row r="32" ht="15" customHeight="1" s="18">
      <c r="A32" s="23" t="inlineStr">
        <is>
          <t>loc_lowest_terrace</t>
        </is>
      </c>
      <c r="B32" s="23" t="inlineStr">
        <is>
          <t>The lowest terrace</t>
        </is>
      </c>
      <c r="C32" s="23" t="inlineStr">
        <is>
          <t>rgn_stepped_coast</t>
        </is>
      </c>
      <c r="D32" s="23" t="inlineStr">
        <is>
          <t>both</t>
        </is>
      </c>
      <c r="E32" s="23" t="inlineStr">
        <is>
          <t>P</t>
        </is>
      </c>
      <c r="F32" s="23" t="inlineStr">
        <is>
          <t>paralogue</t>
        </is>
      </c>
      <c r="G32" s="23" t="inlineStr">
        <is>
          <t>the Shadhavar; the song pulls the nearest enemy one tile a turn</t>
        </is>
      </c>
    </row>
    <row r="33" ht="15" customHeight="1" s="18">
      <c r="A33" s="23" t="inlineStr">
        <is>
          <t>loc_open_road</t>
        </is>
      </c>
      <c r="B33" s="23" t="inlineStr">
        <is>
          <t>The open road (no fixed site)</t>
        </is>
      </c>
      <c r="C33" s="23" t="inlineStr">
        <is>
          <t>rgn_the_throat</t>
        </is>
      </c>
      <c r="D33" s="23" t="inlineStr">
        <is>
          <t>both</t>
        </is>
      </c>
      <c r="E33" s="23" t="inlineStr">
        <is>
          <t>P</t>
        </is>
      </c>
      <c r="F33" s="23" t="inlineStr">
        <is>
          <t>paralogue</t>
        </is>
      </c>
      <c r="G33" s="23" t="inlineStr">
        <is>
          <t>the Huma; it never lands, so it belongs to a road, not a place</t>
        </is>
      </c>
    </row>
    <row r="34" ht="15" customHeight="1" s="18">
      <c r="A34" s="23" t="inlineStr">
        <is>
          <t>loc_hermit_lake</t>
        </is>
      </c>
      <c r="B34" s="23" t="inlineStr">
        <is>
          <t>The saint's lake</t>
        </is>
      </c>
      <c r="C34" s="23" t="inlineStr">
        <is>
          <t>rgn_stepped_coast</t>
        </is>
      </c>
      <c r="D34" s="23" t="inlineStr">
        <is>
          <t>both</t>
        </is>
      </c>
      <c r="E34" s="23" t="inlineStr">
        <is>
          <t>P</t>
        </is>
      </c>
      <c r="F34" s="23" t="inlineStr">
        <is>
          <t>paralogue</t>
        </is>
      </c>
      <c r="G34" s="23" t="inlineStr">
        <is>
          <t>a hermit who refuses to adjudicate; fisher cult around him</t>
        </is>
      </c>
    </row>
    <row r="35" ht="15" customHeight="1" s="18">
      <c r="A35" s="23" t="inlineStr">
        <is>
          <t>loc_north_wind</t>
        </is>
      </c>
      <c r="B35" s="23" t="inlineStr">
        <is>
          <t>The north wind</t>
        </is>
      </c>
      <c r="C35" s="23" t="inlineStr">
        <is>
          <t>rgn_drowned_march</t>
        </is>
      </c>
      <c r="D35" s="23" t="inlineStr">
        <is>
          <t>both</t>
        </is>
      </c>
      <c r="E35" s="23" t="inlineStr">
        <is>
          <t>P</t>
        </is>
      </c>
      <c r="F35" s="23" t="inlineStr">
        <is>
          <t>paralogue</t>
        </is>
      </c>
      <c r="G35" s="23" t="inlineStr">
        <is>
          <t>the second hermit; likewise refuses</t>
        </is>
      </c>
    </row>
    <row r="36" ht="15" customHeight="1" s="18">
      <c r="A36" s="23" t="inlineStr">
        <is>
          <t>loc_buried_works</t>
        </is>
      </c>
      <c r="B36" s="23" t="inlineStr">
        <is>
          <t>The buried works, under Vashti</t>
        </is>
      </c>
      <c r="C36" s="23" t="inlineStr">
        <is>
          <t>rgn_ashland</t>
        </is>
      </c>
      <c r="D36" s="23" t="inlineStr">
        <is>
          <t>both</t>
        </is>
      </c>
      <c r="E36" s="23" t="inlineStr">
        <is>
          <t>P</t>
        </is>
      </c>
      <c r="F36" s="23" t="inlineStr">
        <is>
          <t>paralogue</t>
        </is>
      </c>
      <c r="G36" s="23" t="inlineStr">
        <is>
          <t>records, complicit clerks, a shrine built over a facility</t>
        </is>
      </c>
    </row>
    <row r="38" ht="15" customHeight="1" s="18">
      <c r="A38" s="25" t="inlineStr">
        <is>
          <t>Comma-separated chapter numbers mean the ground is re-staged. Act 3 fights over Act 1's own fords and roads at army scale, so the player recognises the terrain they escorted a grain wagon across in chapter 3. 'P' = paralogue, unlocked through the supply network rather than the writ, so some stay dark in any given run. 34 locations against 30 chapters plus paralogues -- the world has the capacity, with room to cut.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4.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0" customWidth="1" style="17" min="2" max="2"/>
    <col width="30" customWidth="1" style="17" min="3" max="3"/>
    <col width="16" customWidth="1" style="17" min="4" max="4"/>
    <col width="20" customWidth="1" style="17" min="5" max="5"/>
    <col width="34" customWidth="1" style="17" min="6" max="6"/>
    <col width="46" customWidth="1" style="17" min="7" max="7"/>
    <col width="50" customWidth="1" style="17" min="8" max="8"/>
    <col width="40" customWidth="1" style="17" min="9" max="9"/>
    <col width="44" customWidth="1" style="17" min="10" max="10"/>
  </cols>
  <sheetData>
    <row r="1" ht="30" customHeight="1" s="18">
      <c r="A1" s="21" t="inlineStr">
        <is>
          <t>polity_id</t>
        </is>
      </c>
      <c r="B1" s="21" t="inlineStr">
        <is>
          <t>name</t>
        </is>
      </c>
      <c r="C1" s="21" t="inlineStr">
        <is>
          <t>constitution</t>
        </is>
      </c>
      <c r="D1" s="21" t="inlineStr">
        <is>
          <t>seat</t>
        </is>
      </c>
      <c r="E1" s="21" t="inlineStr">
        <is>
          <t>region_id</t>
        </is>
      </c>
      <c r="F1" s="21" t="inlineStr">
        <is>
          <t>holds</t>
        </is>
      </c>
      <c r="G1" s="21" t="inlineStr">
        <is>
          <t>stance_on_the_war</t>
        </is>
      </c>
      <c r="H1" s="21" t="inlineStr">
        <is>
          <t>condition</t>
        </is>
      </c>
      <c r="I1" s="21" t="inlineStr">
        <is>
          <t>naval_posture</t>
        </is>
      </c>
      <c r="J1" s="21" t="inlineStr">
        <is>
          <t>comparative_advantage</t>
        </is>
      </c>
    </row>
    <row r="2" ht="34.5" customHeight="1" s="18">
      <c r="A2" s="23" t="inlineStr">
        <is>
          <t>pol_diadem</t>
        </is>
      </c>
      <c r="B2" s="23" t="inlineStr">
        <is>
          <t>The Diadem</t>
        </is>
      </c>
      <c r="C2" s="23" t="inlineStr">
        <is>
          <t>crowned succession</t>
        </is>
      </c>
      <c r="D2" s="23" t="inlineStr">
        <is>
          <t>Kaisareia</t>
        </is>
      </c>
      <c r="E2" s="23" t="inlineStr">
        <is>
          <t>rgn_center</t>
        </is>
      </c>
      <c r="F2" s="23" t="inlineStr">
        <is>
          <t>the rift peninsula, the Cindered Plains (occupied)</t>
        </is>
      </c>
      <c r="G2" s="23" t="inlineStr">
        <is>
          <t>war victor; claims the whole inheritance</t>
        </is>
      </c>
      <c r="H2" s="23" t="inlineStr">
        <is>
          <t>small, dry, damaged; feeding it is the entire Act 1 problem</t>
        </is>
      </c>
      <c r="I2" s="23" t="inlineStr">
        <is>
          <t>THE SEA POWER: war galleys out of Thessala, warm water, year-round; a fire weapon nobody else has and nobody else understands</t>
        </is>
      </c>
      <c r="J2" s="23" t="inlineStr">
        <is>
          <t>reach -- it can feed itself from anywhere with a coast</t>
        </is>
      </c>
    </row>
    <row r="3" ht="23.25" customHeight="1" s="18">
      <c r="A3" s="23" t="inlineStr">
        <is>
          <t>pol_assembly</t>
        </is>
      </c>
      <c r="B3" s="23" t="inlineStr">
        <is>
          <t>The Assembly</t>
        </is>
      </c>
      <c r="C3" s="23" t="inlineStr">
        <is>
          <t>elective; the great houses assent</t>
        </is>
      </c>
      <c r="D3" s="23" t="inlineStr">
        <is>
          <t>Vetch</t>
        </is>
      </c>
      <c r="E3" s="23" t="inlineStr">
        <is>
          <t>rgn_drowned_march</t>
        </is>
      </c>
      <c r="F3" s="23" t="inlineStr">
        <is>
          <t>the taiga belt and the forest lakes</t>
        </is>
      </c>
      <c r="G3" s="23" t="inlineStr">
        <is>
          <t>war victor; calls the Diadem a crown worn by whoever survived</t>
        </is>
      </c>
      <c r="H3" s="23" t="inlineStr">
        <is>
          <t>CONSTITUTIONAL COLLAPSE, not just resource-poor: legitimacy runs on assent of the great houses, and enough house heads died in the plague that Vetch may not currently have quorum to seat a government at all -- a rump council improvising rather than a functioning state. A crisis of authority, distinct from the Diadem's crisis of resources; this asymmetry was present in the original FE3H-era design (plague-and-no-spiritual-relief vs. crops-destroyed) and thinned out in the de-pivot -- restored here on purpose, since it primes which of the two Act 3 threats makes sense before the player ever chooses.</t>
        </is>
      </c>
      <c r="I3" s="23" t="inlineStr">
        <is>
          <t>no fleet and no shipwrights; Halder ices shut a third of the year</t>
        </is>
      </c>
      <c r="J3" s="23" t="inlineStr">
        <is>
          <t>interior lines, timber, horses -- and credit: it HIRES fleets it cannot build</t>
        </is>
      </c>
    </row>
    <row r="4" ht="23.25" customHeight="1" s="18">
      <c r="A4" s="23" t="inlineStr">
        <is>
          <t>pol_league</t>
        </is>
      </c>
      <c r="B4" s="23" t="inlineStr">
        <is>
          <t>The Toll League</t>
        </is>
      </c>
      <c r="C4" s="23" t="inlineStr">
        <is>
          <t>no sovereign; three cities, one treaty</t>
        </is>
      </c>
      <c r="D4" s="23" t="inlineStr">
        <is>
          <t>Lade, Sarn, Kesh</t>
        </is>
      </c>
      <c r="E4" s="23" t="inlineStr">
        <is>
          <t>rgn_the_throat</t>
        </is>
      </c>
      <c r="F4" s="23" t="inlineStr">
        <is>
          <t>the caravan road and its oases</t>
        </is>
      </c>
      <c r="G4" s="23" t="inlineStr">
        <is>
          <t>neutral by policy, because both sides must pay to eat</t>
        </is>
      </c>
      <c r="H4" s="23" t="inlineStr">
        <is>
          <t>the Company's power base; grace as circulating credit is THEIR doctrine</t>
        </is>
      </c>
      <c r="I4" s="23" t="inlineStr">
        <is>
          <t>none; the League is a road, not a coast</t>
        </is>
      </c>
      <c r="J4" s="23" t="inlineStr">
        <is>
          <t>the only gap in the mountain wall, and it charges for it</t>
        </is>
      </c>
    </row>
    <row r="5" ht="23.25" customHeight="1" s="18">
      <c r="A5" s="23" t="inlineStr">
        <is>
          <t>pol_rivers</t>
        </is>
      </c>
      <c r="B5" s="23" t="inlineStr">
        <is>
          <t>The River Kingdoms</t>
        </is>
      </c>
      <c r="C5" s="23" t="inlineStr">
        <is>
          <t>twelve old cities, rotating primacy</t>
        </is>
      </c>
      <c r="D5" s="23" t="inlineStr">
        <is>
          <t>Anbar</t>
        </is>
      </c>
      <c r="E5" s="23" t="inlineStr">
        <is>
          <t>rgn_glass_flats</t>
        </is>
      </c>
      <c r="F5" s="23" t="inlineStr">
        <is>
          <t>the eastern river valley and delta</t>
        </is>
      </c>
      <c r="G5" s="23" t="inlineStr">
        <is>
          <t>indifferent; both successor states are provincial to them</t>
        </is>
      </c>
      <c r="H5" s="23" t="inlineStr">
        <is>
          <t>oldest continuous cities on the map; the lending houses; where learning comes from</t>
        </is>
      </c>
      <c r="I5" s="23" t="inlineStr">
        <is>
          <t>river craft only, but they finance everyone else's ships</t>
        </is>
      </c>
      <c r="J5" s="23" t="inlineStr">
        <is>
          <t>capital, and the oldest continuous records on the map</t>
        </is>
      </c>
    </row>
    <row r="6" ht="23.25" customHeight="1" s="18">
      <c r="A6" s="23" t="inlineStr">
        <is>
          <t>pol_clans</t>
        </is>
      </c>
      <c r="B6" s="23" t="inlineStr">
        <is>
          <t>The Herd Clans</t>
        </is>
      </c>
      <c r="C6" s="23" t="inlineStr">
        <is>
          <t>no state; assemblies and horse-camps</t>
        </is>
      </c>
      <c r="D6" s="23" t="inlineStr">
        <is>
          <t>none</t>
        </is>
      </c>
      <c r="E6" s="23" t="inlineStr">
        <is>
          <t>rgn_drowned_march</t>
        </is>
      </c>
      <c r="F6" s="23" t="inlineStr">
        <is>
          <t>the high plateau</t>
        </is>
      </c>
      <c r="G6" s="23" t="inlineStr">
        <is>
          <t>the Assembly's elective constitution came from here, which the Diadem calls proof of barbarism</t>
        </is>
      </c>
      <c r="H6" s="23" t="inlineStr">
        <is>
          <t>cannot be conquered because there is nothing to seize</t>
        </is>
      </c>
      <c r="I6" s="23" t="inlineStr">
        <is>
          <t>none</t>
        </is>
      </c>
      <c r="J6" s="23" t="inlineStr">
        <is>
          <t>cannot be conquered because there is nothing to seize</t>
        </is>
      </c>
    </row>
    <row r="7" ht="15" customHeight="1" s="18">
      <c r="A7" s="23" t="inlineStr">
        <is>
          <t>pol_ports</t>
        </is>
      </c>
      <c r="B7" s="23" t="inlineStr">
        <is>
          <t>The Green Ports</t>
        </is>
      </c>
      <c r="C7" s="23" t="inlineStr">
        <is>
          <t>port councils, each independent</t>
        </is>
      </c>
      <c r="D7" s="23" t="inlineStr">
        <is>
          <t>Sindar</t>
        </is>
      </c>
      <c r="E7" s="23" t="inlineStr">
        <is>
          <t>rgn_glass_flats</t>
        </is>
      </c>
      <c r="F7" s="23" t="inlineStr">
        <is>
          <t>the monsoon coast</t>
        </is>
      </c>
      <c r="G7" s="23" t="inlineStr">
        <is>
          <t>sells grain to anyone; the Diadem's fleet goes here</t>
        </is>
      </c>
      <c r="H7" s="23" t="inlineStr">
        <is>
          <t>wet, rich, and entirely uninterested in the war</t>
        </is>
      </c>
      <c r="I7" s="23" t="inlineStr">
        <is>
          <t>the best merchant hulls afloat, and no navy at all</t>
        </is>
      </c>
      <c r="J7" s="23" t="inlineStr">
        <is>
          <t>grain, and a policy of selling it to both sides</t>
        </is>
      </c>
    </row>
    <row r="8" ht="23.25" customHeight="1" s="18">
      <c r="A8" s="23" t="inlineStr">
        <is>
          <t>pol_isles</t>
        </is>
      </c>
      <c r="B8" s="23" t="inlineStr">
        <is>
          <t>The Isles</t>
        </is>
      </c>
      <c r="C8" s="23" t="inlineStr">
        <is>
          <t>fisher communes; no central authority</t>
        </is>
      </c>
      <c r="D8" s="23" t="inlineStr">
        <is>
          <t>Pelagos</t>
        </is>
      </c>
      <c r="E8" s="23" t="inlineStr">
        <is>
          <t>rgn_stepped_coast</t>
        </is>
      </c>
      <c r="F8" s="23" t="inlineStr">
        <is>
          <t>the scattered isles</t>
        </is>
      </c>
      <c r="G8" s="23" t="inlineStr">
        <is>
          <t>outside every claim</t>
        </is>
      </c>
      <c r="H8" s="23" t="inlineStr">
        <is>
          <t>a hermit saint lives here and refuses to adjudicate anything</t>
        </is>
      </c>
      <c r="I8" s="23" t="inlineStr">
        <is>
          <t>fishing boats that know water no chart shows</t>
        </is>
      </c>
      <c r="J8" s="23" t="inlineStr">
        <is>
          <t>pilotage -- the Isles' crews are why anyone crosses safely</t>
        </is>
      </c>
    </row>
    <row r="10" ht="15" customHeight="1" s="18">
      <c r="A10" s="25" t="inlineStr">
        <is>
          <t>Seven polities, three constitutions (crowned / elective / none). The war was between two of them; the other five have opinions about it and no obligation to act on them. A map with only two sovereigns reads as a duel, not a world.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5.xml><?xml version="1.0" encoding="utf-8"?>
<worksheet xmlns="http://schemas.openxmlformats.org/spreadsheetml/2006/main">
  <sheetPr filterMode="0">
    <outlinePr summaryBelow="1" summaryRight="1"/>
    <pageSetUpPr fitToPage="0"/>
  </sheetPr>
  <dimension ref="A1:F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2" customWidth="1" style="17" min="4" max="4"/>
    <col width="20" customWidth="1" style="17" min="5" max="5"/>
    <col width="66" customWidth="1" style="17" min="6" max="6"/>
  </cols>
  <sheetData>
    <row r="1" ht="30" customHeight="1" s="18">
      <c r="A1" s="21" t="inlineStr">
        <is>
          <t>settlement_id</t>
        </is>
      </c>
      <c r="B1" s="21" t="inlineStr">
        <is>
          <t>name</t>
        </is>
      </c>
      <c r="C1" s="21" t="inlineStr">
        <is>
          <t>polity_id</t>
        </is>
      </c>
      <c r="D1" s="21" t="inlineStr">
        <is>
          <t>status</t>
        </is>
      </c>
      <c r="E1" s="21" t="inlineStr">
        <is>
          <t>region_id</t>
        </is>
      </c>
      <c r="F1" s="21" t="inlineStr">
        <is>
          <t>notes</t>
        </is>
      </c>
    </row>
    <row r="2" ht="15" customHeight="1" s="18">
      <c r="A2" s="23" t="inlineStr">
        <is>
          <t>set_kaisareia</t>
        </is>
      </c>
      <c r="B2" s="23" t="inlineStr">
        <is>
          <t>Kaisareia</t>
        </is>
      </c>
      <c r="C2" s="23" t="inlineStr">
        <is>
          <t>pol_diadem</t>
        </is>
      </c>
      <c r="D2" s="23" t="inlineStr">
        <is>
          <t>living</t>
        </is>
      </c>
      <c r="E2" s="23" t="inlineStr">
        <is>
          <t>rgn_center</t>
        </is>
      </c>
      <c r="F2" s="23" t="inlineStr">
        <is>
          <t>twin city on both banks at the rift narrows; capital because the gap is defensible</t>
        </is>
      </c>
    </row>
    <row r="3" ht="15" customHeight="1" s="18">
      <c r="A3" s="23" t="inlineStr">
        <is>
          <t>set_anthe</t>
        </is>
      </c>
      <c r="B3" s="23" t="inlineStr">
        <is>
          <t>Anthe</t>
        </is>
      </c>
      <c r="C3" s="23" t="inlineStr">
        <is>
          <t>pol_diadem</t>
        </is>
      </c>
      <c r="D3" s="23" t="inlineStr">
        <is>
          <t>shrunken</t>
        </is>
      </c>
      <c r="E3" s="23" t="inlineStr">
        <is>
          <t>rgn_stepped_coast</t>
        </is>
      </c>
      <c r="F3" s="23" t="inlineStr">
        <is>
          <t>port on the terraces; its harbour is two levels below the town and dry</t>
        </is>
      </c>
    </row>
    <row r="4" ht="15" customHeight="1" s="18">
      <c r="A4" s="23" t="inlineStr">
        <is>
          <t>set_thessala</t>
        </is>
      </c>
      <c r="B4" s="23" t="inlineStr">
        <is>
          <t>Thessala</t>
        </is>
      </c>
      <c r="C4" s="23" t="inlineStr">
        <is>
          <t>pol_diadem</t>
        </is>
      </c>
      <c r="D4" s="23" t="inlineStr">
        <is>
          <t>living</t>
        </is>
      </c>
      <c r="E4" s="23" t="inlineStr">
        <is>
          <t>rgn_center</t>
        </is>
      </c>
      <c r="F4" s="23" t="inlineStr">
        <is>
          <t>south coast; where the grain fleet sails from</t>
        </is>
      </c>
    </row>
    <row r="5" ht="23.25" customHeight="1" s="18">
      <c r="A5" s="23" t="inlineStr">
        <is>
          <t>set_nikaia</t>
        </is>
      </c>
      <c r="B5" s="23" t="inlineStr">
        <is>
          <t>Nikaia</t>
        </is>
      </c>
      <c r="C5" s="23" t="inlineStr">
        <is>
          <t>pol_diadem</t>
        </is>
      </c>
      <c r="D5" s="23" t="inlineStr">
        <is>
          <t>shrunken</t>
        </is>
      </c>
      <c r="E5" s="23" t="inlineStr">
        <is>
          <t>rgn_center</t>
        </is>
      </c>
      <c r="F5" s="23" t="inlineStr">
        <is>
          <t>six hundred people inside walls built for twenty thousand; fields grow between the quarters</t>
        </is>
      </c>
    </row>
    <row r="6" ht="15" customHeight="1" s="18">
      <c r="A6" s="23" t="inlineStr">
        <is>
          <t>set_vashti</t>
        </is>
      </c>
      <c r="B6" s="23" t="inlineStr">
        <is>
          <t>Vashti</t>
        </is>
      </c>
      <c r="C6" s="23" t="inlineStr">
        <is>
          <t>pol_diadem</t>
        </is>
      </c>
      <c r="D6" s="23" t="inlineStr">
        <is>
          <t>living</t>
        </is>
      </c>
      <c r="E6" s="23" t="inlineStr">
        <is>
          <t>rgn_ashland</t>
        </is>
      </c>
      <c r="F6" s="23" t="inlineStr">
        <is>
          <t>occupied seat in the volcanic field; the Unstained will not take sacraments here</t>
        </is>
      </c>
    </row>
    <row r="7" ht="15" customHeight="1" s="18">
      <c r="A7" s="23" t="inlineStr">
        <is>
          <t>set_sardeis</t>
        </is>
      </c>
      <c r="B7" s="23" t="inlineStr">
        <is>
          <t>Sardeis</t>
        </is>
      </c>
      <c r="C7" s="23" t="inlineStr">
        <is>
          <t>pol_diadem</t>
        </is>
      </c>
      <c r="D7" s="23" t="inlineStr">
        <is>
          <t>ruin</t>
        </is>
      </c>
      <c r="E7" s="23" t="inlineStr">
        <is>
          <t>rgn_ashland</t>
        </is>
      </c>
      <c r="F7" s="23" t="inlineStr">
        <is>
          <t>burned in the war; the Diadem has not rebuilt it and does not intend to</t>
        </is>
      </c>
    </row>
    <row r="8" ht="15" customHeight="1" s="18">
      <c r="A8" s="23" t="inlineStr">
        <is>
          <t>set_vetch</t>
        </is>
      </c>
      <c r="B8" s="23" t="inlineStr">
        <is>
          <t>Vetch</t>
        </is>
      </c>
      <c r="C8" s="23" t="inlineStr">
        <is>
          <t>pol_assembly</t>
        </is>
      </c>
      <c r="D8" s="23" t="inlineStr">
        <is>
          <t>living</t>
        </is>
      </c>
      <c r="E8" s="23" t="inlineStr">
        <is>
          <t>rgn_drowned_march</t>
        </is>
      </c>
      <c r="F8" s="23" t="inlineStr">
        <is>
          <t>the Assembly's seat; timber walls on stone foundations that are much older Act 1: no confirmed quorum among the great houses -- the council currently governing is a rump, not a settled government.</t>
        </is>
      </c>
    </row>
    <row r="9" ht="15" customHeight="1" s="18">
      <c r="A9" s="23" t="inlineStr">
        <is>
          <t>set_halder</t>
        </is>
      </c>
      <c r="B9" s="23" t="inlineStr">
        <is>
          <t>Halder</t>
        </is>
      </c>
      <c r="C9" s="23" t="inlineStr">
        <is>
          <t>pol_assembly</t>
        </is>
      </c>
      <c r="D9" s="23" t="inlineStr">
        <is>
          <t>living</t>
        </is>
      </c>
      <c r="E9" s="23" t="inlineStr">
        <is>
          <t>rgn_drowned_march</t>
        </is>
      </c>
      <c r="F9" s="23" t="inlineStr">
        <is>
          <t>north coast; the sea ices in and the port closes for a third of the year</t>
        </is>
      </c>
    </row>
    <row r="10" ht="23.25" customHeight="1" s="18">
      <c r="A10" s="23" t="inlineStr">
        <is>
          <t>set_marrow</t>
        </is>
      </c>
      <c r="B10" s="23" t="inlineStr">
        <is>
          <t>Marrow</t>
        </is>
      </c>
      <c r="C10" s="23" t="inlineStr">
        <is>
          <t>pol_assembly</t>
        </is>
      </c>
      <c r="D10" s="23" t="inlineStr">
        <is>
          <t>shrunken</t>
        </is>
      </c>
      <c r="E10" s="23" t="inlineStr">
        <is>
          <t>rgn_drowned_march</t>
        </is>
      </c>
      <c r="F10" s="23" t="inlineStr">
        <is>
          <t>the apothecary town; three streets of different widths, and the plague took half of it</t>
        </is>
      </c>
    </row>
    <row r="11" ht="15" customHeight="1" s="18">
      <c r="A11" s="23" t="inlineStr">
        <is>
          <t>set_ostrova</t>
        </is>
      </c>
      <c r="B11" s="23" t="inlineStr">
        <is>
          <t>Ostrova</t>
        </is>
      </c>
      <c r="C11" s="23" t="inlineStr">
        <is>
          <t>pol_assembly</t>
        </is>
      </c>
      <c r="D11" s="23" t="inlineStr">
        <is>
          <t>living</t>
        </is>
      </c>
      <c r="E11" s="23" t="inlineStr">
        <is>
          <t>rgn_drowned_march</t>
        </is>
      </c>
      <c r="F11" s="23" t="inlineStr">
        <is>
          <t>on the plateau edge; closer to the horse-camps than to Vetch, and it shows</t>
        </is>
      </c>
    </row>
    <row r="12" ht="15" customHeight="1" s="18">
      <c r="A12" s="23" t="inlineStr">
        <is>
          <t>set_kolm</t>
        </is>
      </c>
      <c r="B12" s="23" t="inlineStr">
        <is>
          <t>Kolm</t>
        </is>
      </c>
      <c r="C12" s="23" t="inlineStr">
        <is>
          <t>pol_assembly</t>
        </is>
      </c>
      <c r="D12" s="23" t="inlineStr">
        <is>
          <t>ruin</t>
        </is>
      </c>
      <c r="E12" s="23" t="inlineStr">
        <is>
          <t>rgn_drowned_march</t>
        </is>
      </c>
      <c r="F12" s="23" t="inlineStr">
        <is>
          <t>abandoned to the plague, not to war; nobody has gone back in</t>
        </is>
      </c>
    </row>
    <row r="13" ht="15" customHeight="1" s="18">
      <c r="A13" s="23" t="inlineStr">
        <is>
          <t>set_lade</t>
        </is>
      </c>
      <c r="B13" s="23" t="inlineStr">
        <is>
          <t>Lade</t>
        </is>
      </c>
      <c r="C13" s="23" t="inlineStr">
        <is>
          <t>pol_league</t>
        </is>
      </c>
      <c r="D13" s="23" t="inlineStr">
        <is>
          <t>living</t>
        </is>
      </c>
      <c r="E13" s="23" t="inlineStr">
        <is>
          <t>rgn_the_throat</t>
        </is>
      </c>
      <c r="F13" s="23" t="inlineStr">
        <is>
          <t>first oasis past the wall; the caravanserai where prices rise when a fight is visible</t>
        </is>
      </c>
    </row>
    <row r="14" ht="15" customHeight="1" s="18">
      <c r="A14" s="23" t="inlineStr">
        <is>
          <t>set_sarn</t>
        </is>
      </c>
      <c r="B14" s="23" t="inlineStr">
        <is>
          <t>Sarn</t>
        </is>
      </c>
      <c r="C14" s="23" t="inlineStr">
        <is>
          <t>pol_league</t>
        </is>
      </c>
      <c r="D14" s="23" t="inlineStr">
        <is>
          <t>living</t>
        </is>
      </c>
      <c r="E14" s="23" t="inlineStr">
        <is>
          <t>rgn_the_throat</t>
        </is>
      </c>
      <c r="F14" s="23" t="inlineStr">
        <is>
          <t>middle oasis; the League's treaty was signed here and is re-read aloud yearly</t>
        </is>
      </c>
    </row>
    <row r="15" ht="15" customHeight="1" s="18">
      <c r="A15" s="23" t="inlineStr">
        <is>
          <t>set_kesh</t>
        </is>
      </c>
      <c r="B15" s="23" t="inlineStr">
        <is>
          <t>Kesh</t>
        </is>
      </c>
      <c r="C15" s="23" t="inlineStr">
        <is>
          <t>pol_league</t>
        </is>
      </c>
      <c r="D15" s="23" t="inlineStr">
        <is>
          <t>living</t>
        </is>
      </c>
      <c r="E15" s="23" t="inlineStr">
        <is>
          <t>rgn_the_throat</t>
        </is>
      </c>
      <c r="F15" s="23" t="inlineStr">
        <is>
          <t>last oasis before the river valley; where the road's tolls are actually collected</t>
        </is>
      </c>
    </row>
    <row r="16" ht="15" customHeight="1" s="18">
      <c r="A16" s="23" t="inlineStr">
        <is>
          <t>set_anbar</t>
        </is>
      </c>
      <c r="B16" s="23" t="inlineStr">
        <is>
          <t>Anbar</t>
        </is>
      </c>
      <c r="C16" s="23" t="inlineStr">
        <is>
          <t>pol_rivers</t>
        </is>
      </c>
      <c r="D16" s="23" t="inlineStr">
        <is>
          <t>living</t>
        </is>
      </c>
      <c r="E16" s="23" t="inlineStr">
        <is>
          <t>rgn_glass_flats</t>
        </is>
      </c>
      <c r="F16" s="23" t="inlineStr">
        <is>
          <t>the lending houses; grain bought on credit against a harvest nobody has seen</t>
        </is>
      </c>
    </row>
    <row r="17" ht="15" customHeight="1" s="18">
      <c r="A17" s="23" t="inlineStr">
        <is>
          <t>set_nirash</t>
        </is>
      </c>
      <c r="B17" s="23" t="inlineStr">
        <is>
          <t>Nirash</t>
        </is>
      </c>
      <c r="C17" s="23" t="inlineStr">
        <is>
          <t>pol_rivers</t>
        </is>
      </c>
      <c r="D17" s="23" t="inlineStr">
        <is>
          <t>living</t>
        </is>
      </c>
      <c r="E17" s="23" t="inlineStr">
        <is>
          <t>rgn_glass_flats</t>
        </is>
      </c>
      <c r="F17" s="23" t="inlineStr">
        <is>
          <t>delta city; older than the Diadem's oldest record of itself</t>
        </is>
      </c>
    </row>
    <row r="18" ht="23.25" customHeight="1" s="18">
      <c r="A18" s="23" t="inlineStr">
        <is>
          <t>set_eresh</t>
        </is>
      </c>
      <c r="B18" s="23" t="inlineStr">
        <is>
          <t>Eresh</t>
        </is>
      </c>
      <c r="C18" s="23" t="inlineStr">
        <is>
          <t>pol_rivers</t>
        </is>
      </c>
      <c r="D18" s="23" t="inlineStr">
        <is>
          <t>tell</t>
        </is>
      </c>
      <c r="E18" s="23" t="inlineStr">
        <is>
          <t>rgn_glass_flats</t>
        </is>
      </c>
      <c r="F18" s="23" t="inlineStr">
        <is>
          <t>a mound with a modern village on top; the city underneath is still being dug out of it</t>
        </is>
      </c>
    </row>
    <row r="19" ht="15" customHeight="1" s="18">
      <c r="A19" s="23" t="inlineStr">
        <is>
          <t>set_sindar</t>
        </is>
      </c>
      <c r="B19" s="23" t="inlineStr">
        <is>
          <t>Sindar</t>
        </is>
      </c>
      <c r="C19" s="23" t="inlineStr">
        <is>
          <t>pol_ports</t>
        </is>
      </c>
      <c r="D19" s="23" t="inlineStr">
        <is>
          <t>living</t>
        </is>
      </c>
      <c r="E19" s="23" t="inlineStr">
        <is>
          <t>rgn_glass_flats</t>
        </is>
      </c>
      <c r="F19" s="23" t="inlineStr">
        <is>
          <t>monsoon port; sells grain to both sides and does not pretend otherwise</t>
        </is>
      </c>
    </row>
    <row r="20" ht="15" customHeight="1" s="18">
      <c r="A20" s="23" t="inlineStr">
        <is>
          <t>set_pelagos</t>
        </is>
      </c>
      <c r="B20" s="23" t="inlineStr">
        <is>
          <t>Pelagos</t>
        </is>
      </c>
      <c r="C20" s="23" t="inlineStr">
        <is>
          <t>pol_isles</t>
        </is>
      </c>
      <c r="D20" s="23" t="inlineStr">
        <is>
          <t>living</t>
        </is>
      </c>
      <c r="E20" s="23" t="inlineStr">
        <is>
          <t>rgn_stepped_coast</t>
        </is>
      </c>
      <c r="F20" s="23" t="inlineStr">
        <is>
          <t>fisher commune; the saint lives on the next island and they feed him</t>
        </is>
      </c>
    </row>
    <row r="21" ht="15" customHeight="1" s="18">
      <c r="A21" s="23" t="inlineStr">
        <is>
          <t>set_stranded</t>
        </is>
      </c>
      <c r="B21" s="23" t="inlineStr">
        <is>
          <t>the stranded harbour</t>
        </is>
      </c>
      <c r="C21" s="23" t="inlineStr">
        <is>
          <t>pol_diadem</t>
        </is>
      </c>
      <c r="D21" s="23" t="inlineStr">
        <is>
          <t>ruin</t>
        </is>
      </c>
      <c r="E21" s="23" t="inlineStr">
        <is>
          <t>rgn_stepped_coast</t>
        </is>
      </c>
      <c r="F21" s="23" t="inlineStr">
        <is>
          <t>on the middle terrace, high above the waterline; the renunciants live in it</t>
        </is>
      </c>
    </row>
    <row r="23" ht="15" customHeight="1" s="18">
      <c r="A23" s="25" t="inlineStr">
        <is>
          <t>STATUS is the density argument. living / shrunken (walls too big for the people in them) / ruin (emptied by war or plague, recently) / tell (a mound with a village on top and a city underneath). The world is not pre-urban, it is post-urban. 20 named settlements against 7 polities.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0"/>
  </sheetPr>
  <dimension ref="A1:G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20" customWidth="1" style="17" min="3" max="3"/>
    <col width="26" customWidth="1" style="17" min="4" max="4"/>
    <col width="46" customWidth="1" style="17" min="5" max="5"/>
    <col width="48" customWidth="1" style="17" min="6" max="6"/>
    <col width="52" customWidth="1" style="17" min="7" max="7"/>
  </cols>
  <sheetData>
    <row r="1" ht="30" customHeight="1" s="18">
      <c r="A1" s="21" t="inlineStr">
        <is>
          <t>era_id</t>
        </is>
      </c>
      <c r="B1" s="21" t="inlineStr">
        <is>
          <t>name</t>
        </is>
      </c>
      <c r="C1" s="21" t="inlineStr">
        <is>
          <t>when</t>
        </is>
      </c>
      <c r="D1" s="21" t="inlineStr">
        <is>
          <t>shape</t>
        </is>
      </c>
      <c r="E1" s="21" t="inlineStr">
        <is>
          <t>what_happened</t>
        </is>
      </c>
      <c r="F1" s="21" t="inlineStr">
        <is>
          <t>what_it_means_now</t>
        </is>
      </c>
      <c r="G1" s="21" t="inlineStr">
        <is>
          <t>how_the_game_uses_it</t>
        </is>
      </c>
    </row>
    <row r="2" ht="23.25" customHeight="1" s="18">
      <c r="A2" s="23" t="inlineStr">
        <is>
          <t>era_cities</t>
        </is>
      </c>
      <c r="B2" s="23" t="inlineStr">
        <is>
          <t>The Hundred Cities</t>
        </is>
      </c>
      <c r="C2" s="23" t="inlineStr">
        <is>
          <t>~800 years before</t>
        </is>
      </c>
      <c r="D2" s="23" t="inlineStr">
        <is>
          <t>Akkadian register</t>
        </is>
      </c>
      <c r="E2" s="23" t="inlineStr">
        <is>
          <t>every valley held a city-state with its own patron, temple and king</t>
        </is>
      </c>
      <c r="F2" s="23" t="inlineStr">
        <is>
          <t>the patrons were NAMED PARTIES WITH TERMS, not metaphors</t>
        </is>
      </c>
      <c r="G2" s="23" t="inlineStr">
        <is>
          <t>flashback chapters F1-F3: different roster, chariots, no requisition, no permadeath</t>
        </is>
      </c>
    </row>
    <row r="3" ht="23.25" customHeight="1" s="18">
      <c r="A3" s="23" t="inlineStr">
        <is>
          <t>era_binding</t>
        </is>
      </c>
      <c r="B3" s="23" t="inlineStr">
        <is>
          <t>The Binding of Sargath</t>
        </is>
      </c>
      <c r="C3" s="23" t="inlineStr">
        <is>
          <t>~780 years before</t>
        </is>
      </c>
      <c r="D3" s="23" t="inlineStr">
        <is>
          <t>Sargath of Ur-Nashet binds the rest</t>
        </is>
      </c>
      <c r="E3" s="23" t="inlineStr">
        <is>
          <t>the First Register is written: which patron owes what to whom</t>
        </is>
      </c>
      <c r="F3" s="23" t="inlineStr">
        <is>
          <t>every pact in the present is a clause in a treaty nobody alive negotiated</t>
        </is>
      </c>
      <c r="G3" s="23" t="inlineStr">
        <is>
          <t>the founding crime; the demons the nobles borrow from are deposed city-patrons</t>
        </is>
      </c>
    </row>
    <row r="4" ht="23.25" customHeight="1" s="18">
      <c r="A4" s="23" t="inlineStr">
        <is>
          <t>era_empire</t>
        </is>
      </c>
      <c r="B4" s="23" t="inlineStr">
        <is>
          <t>The Long Reign</t>
        </is>
      </c>
      <c r="C4" s="23" t="inlineStr">
        <is>
          <t>780-90 years before</t>
        </is>
      </c>
      <c r="D4" s="23" t="inlineStr">
        <is>
          <t>one realm, one church</t>
        </is>
      </c>
      <c r="E4" s="23" t="inlineStr">
        <is>
          <t>the church that held it together was not telling the truth</t>
        </is>
      </c>
      <c r="F4" s="23" t="inlineStr">
        <is>
          <t>learning moved east and came back translated; the capital lived on inheritance</t>
        </is>
      </c>
      <c r="G4" s="23" t="inlineStr">
        <is>
          <t>the age the Diadem still thinks it is living in</t>
        </is>
      </c>
    </row>
    <row r="5" ht="23.25" customHeight="1" s="18">
      <c r="A5" s="23" t="inlineStr">
        <is>
          <t>era_venerated</t>
        </is>
      </c>
      <c r="B5" s="23" t="inlineStr">
        <is>
          <t>The Venerated</t>
        </is>
      </c>
      <c r="C5" s="23" t="inlineStr">
        <is>
          <t>~90-40 years before</t>
        </is>
      </c>
      <c r="D5" s="23" t="inlineStr">
        <is>
          <t>a person, and then an absence</t>
        </is>
      </c>
      <c r="E5" s="23" t="inlineStr">
        <is>
          <t>what they did is disputed; whether they died is disputed; the tomb is disputed</t>
        </is>
      </c>
      <c r="F5" s="23" t="inlineStr">
        <is>
          <t>the sects are five answers to one question the game never settles</t>
        </is>
      </c>
      <c r="G5" s="23" t="inlineStr">
        <is>
          <t>no depiction survives that all parties accept as authentic</t>
        </is>
      </c>
    </row>
    <row r="6" ht="23.25" customHeight="1" s="18">
      <c r="A6" s="23" t="inlineStr">
        <is>
          <t>era_war</t>
        </is>
      </c>
      <c r="B6" s="23" t="inlineStr">
        <is>
          <t>The War of the Two Claims</t>
        </is>
      </c>
      <c r="C6" s="23" t="inlineStr">
        <is>
          <t>40-1 years before</t>
        </is>
      </c>
      <c r="D6" s="23" t="inlineStr">
        <is>
          <t>the realm splits</t>
        </is>
      </c>
      <c r="E6" s="23" t="inlineStr">
        <is>
          <t>crowned succession against elective succession; both call themselves the inheritance</t>
        </is>
      </c>
      <c r="F6" s="23" t="inlineStr">
        <is>
          <t>ended in exhaustion, not victory; the claim did not end</t>
        </is>
      </c>
      <c r="G6" s="23" t="inlineStr">
        <is>
          <t>Act 1 opens in the year after</t>
        </is>
      </c>
    </row>
    <row r="8" ht="15" customHeight="1" s="18">
      <c r="A8" s="25" t="inlineStr">
        <is>
          <t>LORE IS DELIVERED BY PLAYING. Three flashback chapters at the act breaks put the player in the Hundred Cities: a different roster, chariots, city patrons who answer directly, and rules the modern game does not use. A flashback may legally break the map laws, because it is a memory and it is teaching, not testing.</t>
        </is>
      </c>
    </row>
    <row r="9" ht="34.5" customHeight="1" s="18">
      <c r="A9" s="23" t="inlineStr">
        <is>
          <t>era_sargath_note</t>
        </is>
      </c>
      <c r="B9" s="23" t="inlineStr">
        <is>
          <t>Sargath, the binder</t>
        </is>
      </c>
      <c r="C9" s="23" t="inlineStr">
        <is>
          <t>the figure, not the age</t>
        </is>
      </c>
      <c r="D9" s="23" t="inlineStr">
        <is>
          <t>a city-king who made the first empire and the first register in the same act</t>
        </is>
      </c>
      <c r="E9" s="23" t="inlineStr">
        <is>
          <t>he did not kill the patrons; he WROTE THEM DOWN, which turned gods into signatories</t>
        </is>
      </c>
      <c r="F9" s="23" t="inlineStr">
        <is>
          <t>the register is his instrument and it outlived his empire by seven centuries</t>
        </is>
      </c>
      <c r="G9" s="23" t="inlineStr">
        <is>
          <t>named for a real child; the sound is right and the etymology is nobody's</t>
        </is>
      </c>
    </row>
    <row r="12" ht="15" customHeight="1" s="18">
      <c r="A12" s="25" t="inlineStr">
        <is>
          <t>THE PARALLEL, stated once so it is never over-explained in dialogue: the ranked spirits of the register -- kings, dukes, presidents, counts, each commanding a stated number of legions, each with a named competency -- are the deposed patrons of the Hundred Cities. Sargath did not destroy them. He listed them, with ranks and obligations, and a listed god is a party to a contract. The copying errors came later, and one name was lost in transmission.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7.xml><?xml version="1.0" encoding="utf-8"?>
<worksheet xmlns="http://schemas.openxmlformats.org/spreadsheetml/2006/main">
  <sheetPr filterMode="0">
    <outlinePr summaryBelow="1" summaryRight="1"/>
    <pageSetUpPr fitToPage="0"/>
  </sheetPr>
  <dimension ref="A1:I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8" customWidth="1" style="17" min="2" max="2"/>
    <col width="12" customWidth="1" style="17" min="3" max="3"/>
    <col width="30" customWidth="1" style="17" min="4" max="4"/>
    <col width="14" customWidth="1" style="17" min="5" max="5"/>
    <col width="46" customWidth="1" style="17" min="6" max="8"/>
    <col width="50" customWidth="1" style="17" min="9" max="9"/>
  </cols>
  <sheetData>
    <row r="1" ht="30" customHeight="1" s="18">
      <c r="A1" s="21" t="inlineStr">
        <is>
          <t>flashback_id</t>
        </is>
      </c>
      <c r="B1" s="21" t="inlineStr">
        <is>
          <t>slot</t>
        </is>
      </c>
      <c r="C1" s="21" t="inlineStr">
        <is>
          <t>position</t>
        </is>
      </c>
      <c r="D1" s="21" t="inlineStr">
        <is>
          <t>title</t>
        </is>
      </c>
      <c r="E1" s="21" t="inlineStr">
        <is>
          <t>era_id</t>
        </is>
      </c>
      <c r="F1" s="21" t="inlineStr">
        <is>
          <t>premise</t>
        </is>
      </c>
      <c r="G1" s="21" t="inlineStr">
        <is>
          <t>rules_that_differ</t>
        </is>
      </c>
      <c r="H1" s="21" t="inlineStr">
        <is>
          <t>what_it_teaches</t>
        </is>
      </c>
      <c r="I1" s="21" t="inlineStr">
        <is>
          <t>the_turn</t>
        </is>
      </c>
    </row>
    <row r="2" ht="23.25" customHeight="1" s="18">
      <c r="A2" s="23" t="inlineStr">
        <is>
          <t>fb_f0</t>
        </is>
      </c>
      <c r="B2" s="23" t="inlineStr">
        <is>
          <t>F0</t>
        </is>
      </c>
      <c r="C2" s="23" t="inlineStr">
        <is>
          <t>PROLOGUE</t>
        </is>
      </c>
      <c r="D2" s="23" t="inlineStr">
        <is>
          <t>Ur-Nashet, the night of the binding</t>
        </is>
      </c>
      <c r="E2" s="23" t="inlineStr">
        <is>
          <t>era_cities</t>
        </is>
      </c>
      <c r="F2" s="23" t="inlineStr">
        <is>
          <t>the player's first battle is 800 years early, in a city that no longer exists</t>
        </is>
      </c>
      <c r="G2" s="23" t="inlineStr">
        <is>
          <t>chariots, no requisition, no permadeath, no forge; one weapon each, no repair</t>
        </is>
      </c>
      <c r="H2" s="23" t="inlineStr">
        <is>
          <t>teaches: movement, terrain cost, the weapon triangle -- nothing else</t>
        </is>
      </c>
      <c r="I2" s="23" t="inlineStr">
        <is>
          <t>ends with the city taken and its patron written into a book; the player did that. THE NAME IS NEVER SHOWN: the scribe's hand covers the page, the angle is wrong, the rain is on it. The player performs the founding crime without learning what was written.</t>
        </is>
      </c>
    </row>
    <row r="3" ht="23.25" customHeight="1" s="18">
      <c r="A3" s="23" t="inlineStr">
        <is>
          <t>fb_f1</t>
        </is>
      </c>
      <c r="B3" s="23" t="inlineStr">
        <is>
          <t>F1</t>
        </is>
      </c>
      <c r="C3" s="23" t="inlineStr">
        <is>
          <t>act 1 -&gt; 2</t>
        </is>
      </c>
      <c r="D3" s="23" t="inlineStr">
        <is>
          <t>The scribes' quarter</t>
        </is>
      </c>
      <c r="E3" s="23" t="inlineStr">
        <is>
          <t>era_binding</t>
        </is>
      </c>
      <c r="F3" s="23" t="inlineStr">
        <is>
          <t>the First Register is copied for the first time, under deadline</t>
        </is>
      </c>
      <c r="G3" s="23" t="inlineStr">
        <is>
          <t>protect the copyists; a page is lost and the game does not tell you which</t>
        </is>
      </c>
      <c r="H3" s="23" t="inlineStr">
        <is>
          <t>teaches: the epithet ledger, by showing you a clerk recording deeds</t>
        </is>
      </c>
      <c r="I3" s="23" t="inlineStr">
        <is>
          <t>the missing name enters the world here, as an accident nobody notices</t>
        </is>
      </c>
    </row>
    <row r="4" ht="23.25" customHeight="1" s="18">
      <c r="A4" s="23" t="inlineStr">
        <is>
          <t>fb_f2</t>
        </is>
      </c>
      <c r="B4" s="23" t="inlineStr">
        <is>
          <t>F2</t>
        </is>
      </c>
      <c r="C4" s="23" t="inlineStr">
        <is>
          <t>act 2 -&gt; 3</t>
        </is>
      </c>
      <c r="D4" s="23" t="inlineStr">
        <is>
          <t>The last court of the Long Reign</t>
        </is>
      </c>
      <c r="E4" s="23" t="inlineStr">
        <is>
          <t>era_empire</t>
        </is>
      </c>
      <c r="F4" s="23" t="inlineStr">
        <is>
          <t>the church that held the realm together, on the day it stopped being believed</t>
        </is>
      </c>
      <c r="G4" s="23" t="inlineStr">
        <is>
          <t>a defence with no reinforcements and no supply; the state simply runs out</t>
        </is>
      </c>
      <c r="H4" s="23" t="inlineStr">
        <is>
          <t>teaches: what the pact layer costs, by letting you spend it freely and lose anyway</t>
        </is>
      </c>
      <c r="I4" s="23" t="inlineStr">
        <is>
          <t>the only flashback the player can lose without a restart; losing is the ending</t>
        </is>
      </c>
    </row>
    <row r="6" ht="15" customHeight="1" s="18">
      <c r="A6" s="25" t="inlineStr">
        <is>
          <t>A flashback may legally break the map laws: it is a memory and it is teaching, not testing. F0 as prologue means the player's first act in the game is the founding crime, performed before they know it is one. Different roster each time; nobody in a flashback is recruitable.</t>
        </is>
      </c>
    </row>
    <row r="9" ht="15" customHeight="1" s="18">
      <c r="A9" s="25" t="inlineStr">
        <is>
          <t>THE WITHHELD NAME. The player never sees what Nashar writes, in F0 or anywhere after. This is</t>
        </is>
      </c>
    </row>
    <row r="10" ht="15" customHeight="1" s="18">
      <c r="A10" s="25" t="inlineStr">
        <is>
          <t>the spine of the whole epistemology: the game is about people arguing over a record none of them</t>
        </is>
      </c>
    </row>
    <row r="11" ht="15" customHeight="1" s="18">
      <c r="A11" s="25" t="inlineStr">
        <is>
          <t>can fully read, and the player must be INSIDE that condition rather than above it. Showing the</t>
        </is>
      </c>
    </row>
    <row r="12" ht="15" customHeight="1" s="18">
      <c r="A12" s="25" t="inlineStr">
        <is>
          <t>name would make the player a holder of secret knowledge and quietly convert five sects into four</t>
        </is>
      </c>
    </row>
    <row r="13" ht="15" customHeight="1" s="18">
      <c r="A13" s="25" t="inlineStr">
        <is>
          <t>wrong ones. It also means F1's copying accident lands as loss rather than as dramatic irony --</t>
        </is>
      </c>
    </row>
    <row r="14" ht="15" customHeight="1" s="18">
      <c r="A14" s="25" t="inlineStr">
        <is>
          <t>nobody in the world knows what went missing, including the person who was in the room.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8.xml><?xml version="1.0" encoding="utf-8"?>
<worksheet xmlns="http://schemas.openxmlformats.org/spreadsheetml/2006/main">
  <sheetPr filterMode="0">
    <outlinePr summaryBelow="1" summaryRight="1"/>
    <pageSetUpPr fitToPage="0"/>
  </sheetPr>
  <dimension ref="A1:U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13" customWidth="1" style="17" min="2" max="2"/>
    <col width="26" customWidth="1" style="17" min="3" max="3"/>
    <col width="7" customWidth="1" style="17" min="4" max="4"/>
    <col width="14" customWidth="1" style="17" min="5" max="5"/>
    <col width="11" customWidth="1" style="17" min="6" max="6"/>
    <col width="11" customWidth="1" style="17" min="7" max="7"/>
    <col width="32" customWidth="1" style="17" min="8" max="8"/>
    <col width="14" customWidth="1" style="17" min="9" max="9"/>
    <col width="56" customWidth="1" style="17" min="10" max="10"/>
  </cols>
  <sheetData>
    <row r="1" ht="30" customHeight="1" s="18">
      <c r="A1" s="21" t="inlineStr">
        <is>
          <t>punit_id</t>
        </is>
      </c>
      <c r="B1" s="21" t="inlineStr">
        <is>
          <t>name</t>
        </is>
      </c>
      <c r="C1" s="21" t="inlineStr">
        <is>
          <t>role</t>
        </is>
      </c>
      <c r="D1" s="21" t="inlineStr">
        <is>
          <t>move</t>
        </is>
      </c>
      <c r="E1" s="26" t="inlineStr">
        <is>
          <t>movement_type</t>
        </is>
      </c>
      <c r="F1" s="26" t="inlineStr">
        <is>
          <t>deploy_row</t>
        </is>
      </c>
      <c r="G1" s="26" t="inlineStr">
        <is>
          <t>deploy_col</t>
        </is>
      </c>
      <c r="H1" s="21" t="inlineStr">
        <is>
          <t>hp</t>
        </is>
      </c>
      <c r="I1" s="21" t="inlineStr">
        <is>
          <t>what_they_do</t>
        </is>
      </c>
      <c r="J1" s="21" t="inlineStr">
        <is>
          <t>what_it_teaches</t>
        </is>
      </c>
      <c r="K1" s="21" t="inlineStr">
        <is>
          <t>ancestor_of</t>
        </is>
      </c>
      <c r="L1" s="21" t="inlineStr">
        <is>
          <t>dmg_vs_statue</t>
        </is>
      </c>
      <c r="M1" s="21" t="inlineStr">
        <is>
          <t>weapon_art</t>
        </is>
      </c>
      <c r="N1" s="21" t="inlineStr">
        <is>
          <t>str</t>
        </is>
      </c>
      <c r="O1" s="21" t="inlineStr">
        <is>
          <t>mag</t>
        </is>
      </c>
      <c r="P1" s="21" t="inlineStr">
        <is>
          <t>dex</t>
        </is>
      </c>
      <c r="Q1" s="21" t="inlineStr">
        <is>
          <t>spd</t>
        </is>
      </c>
      <c r="R1" s="21" t="inlineStr">
        <is>
          <t>lck</t>
        </is>
      </c>
      <c r="S1" s="21" t="inlineStr">
        <is>
          <t>def</t>
        </is>
      </c>
      <c r="T1" s="21" t="inlineStr">
        <is>
          <t>res</t>
        </is>
      </c>
      <c r="U1" s="21" t="inlineStr">
        <is>
          <t>notes</t>
        </is>
      </c>
    </row>
    <row r="2" ht="23.85" customHeight="1" s="18">
      <c r="A2" s="23" t="inlineStr">
        <is>
          <t>pu_sargath</t>
        </is>
      </c>
      <c r="B2" s="23" t="inlineStr">
        <is>
          <t>Sargath</t>
        </is>
      </c>
      <c r="C2" s="23" t="inlineStr">
        <is>
          <t>king; sword and authority</t>
        </is>
      </c>
      <c r="D2" s="23" t="n">
        <v>6</v>
      </c>
      <c r="E2" s="17" t="inlineStr">
        <is>
          <t>infantry</t>
        </is>
      </c>
      <c r="F2" s="17" t="n">
        <v>15</v>
      </c>
      <c r="G2" s="17" t="n">
        <v>9</v>
      </c>
      <c r="H2" s="23" t="n">
        <v>22</v>
      </c>
      <c r="I2" s="23" t="inlineStr">
        <is>
          <t>must personally seize the temple terrace</t>
        </is>
      </c>
      <c r="J2" s="23" t="inlineStr">
        <is>
          <t>objectives that require a specific unit</t>
        </is>
      </c>
      <c r="K2" s="23" t="inlineStr">
        <is>
          <t>the Strategist line</t>
        </is>
      </c>
      <c r="L2" s="30" t="n">
        <v>14</v>
      </c>
      <c r="M2" s="17" t="inlineStr">
        <is>
          <t>sword</t>
        </is>
      </c>
      <c r="N2" s="17" t="n">
        <v>5</v>
      </c>
      <c r="O2" s="17" t="n">
        <v>3</v>
      </c>
      <c r="P2" s="17" t="n">
        <v>6</v>
      </c>
      <c r="Q2" s="17" t="n">
        <v>6</v>
      </c>
      <c r="R2" s="17" t="n">
        <v>5</v>
      </c>
      <c r="S2" s="17" t="n">
        <v>4</v>
      </c>
      <c r="T2" s="17" t="n">
        <v>3</v>
      </c>
      <c r="U2" s="23" t="inlineStr">
        <is>
          <t>the one time in the whole game the player commands a head of state in person</t>
        </is>
      </c>
    </row>
    <row r="3" ht="23.85" customHeight="1" s="18">
      <c r="A3" s="23" t="inlineStr">
        <is>
          <t>pu_enmet</t>
        </is>
      </c>
      <c r="B3" s="23" t="inlineStr">
        <is>
          <t>Enmet</t>
        </is>
      </c>
      <c r="C3" s="23" t="inlineStr">
        <is>
          <t>the wall-breaker; reason</t>
        </is>
      </c>
      <c r="D3" s="23" t="n">
        <v>5</v>
      </c>
      <c r="E3" s="17" t="inlineStr">
        <is>
          <t>infantry</t>
        </is>
      </c>
      <c r="F3" s="17" t="n">
        <v>15</v>
      </c>
      <c r="G3" s="17" t="n">
        <v>8</v>
      </c>
      <c r="H3" s="23" t="n">
        <v>18</v>
      </c>
      <c r="I3" s="23" t="inlineStr">
        <is>
          <t>one cast removes the wall, turn 1</t>
        </is>
      </c>
      <c r="J3" s="23" t="inlineStr">
        <is>
          <t>terrain is destructible</t>
        </is>
      </c>
      <c r="K3" s="23" t="inlineStr">
        <is>
          <t>Warlock; the Tzitzimitl's Corrosion</t>
        </is>
      </c>
      <c r="L3" s="30" t="n">
        <v>16</v>
      </c>
      <c r="M3" s="17" t="inlineStr">
        <is>
          <t>reason</t>
        </is>
      </c>
      <c r="N3" s="17" t="n">
        <v>3</v>
      </c>
      <c r="O3" s="17" t="n">
        <v>6</v>
      </c>
      <c r="P3" s="17" t="n">
        <v>6</v>
      </c>
      <c r="Q3" s="17" t="n">
        <v>6</v>
      </c>
      <c r="R3" s="17" t="n">
        <v>5</v>
      </c>
      <c r="S3" s="17" t="n">
        <v>4</v>
      </c>
      <c r="T3" s="17" t="n">
        <v>3</v>
      </c>
      <c r="U3" s="23" t="inlineStr">
        <is>
          <t>young, rain-soaked, unbothered, the most destructive thing on the continent; the modern doctrinal bans exist because of people like her</t>
        </is>
      </c>
    </row>
    <row r="4" ht="15" customHeight="1" s="18">
      <c r="A4" s="23" t="inlineStr">
        <is>
          <t>pu_tasme</t>
        </is>
      </c>
      <c r="B4" s="23" t="inlineStr">
        <is>
          <t>Tasme</t>
        </is>
      </c>
      <c r="C4" s="23" t="inlineStr">
        <is>
          <t>chariot; lance</t>
        </is>
      </c>
      <c r="D4" s="23" t="n">
        <v>9</v>
      </c>
      <c r="E4" s="17" t="inlineStr">
        <is>
          <t>riding</t>
        </is>
      </c>
      <c r="F4" s="17" t="n">
        <v>15</v>
      </c>
      <c r="G4" s="17" t="n">
        <v>3</v>
      </c>
      <c r="H4" s="23" t="n">
        <v>20</v>
      </c>
      <c r="I4" s="23" t="inlineStr">
        <is>
          <t>absurd movement, cannot climb the terraces</t>
        </is>
      </c>
      <c r="J4" s="23" t="inlineStr">
        <is>
          <t>movement types and terrain cost</t>
        </is>
      </c>
      <c r="K4" s="23" t="inlineStr">
        <is>
          <t>the riding column</t>
        </is>
      </c>
      <c r="L4" s="30" t="n">
        <v>12</v>
      </c>
      <c r="M4" s="17" t="inlineStr">
        <is>
          <t>lance</t>
        </is>
      </c>
      <c r="N4" s="17" t="n">
        <v>5</v>
      </c>
      <c r="O4" s="17" t="n">
        <v>3</v>
      </c>
      <c r="P4" s="17" t="n">
        <v>6</v>
      </c>
      <c r="Q4" s="17" t="n">
        <v>6</v>
      </c>
      <c r="R4" s="17" t="n">
        <v>5</v>
      </c>
      <c r="S4" s="17" t="n">
        <v>4</v>
      </c>
      <c r="T4" s="17" t="n">
        <v>3</v>
      </c>
      <c r="U4" s="23" t="inlineStr">
        <is>
          <t>shows the player what mobility buys and what it costs</t>
        </is>
      </c>
    </row>
    <row r="5" ht="23.85" customHeight="1" s="18">
      <c r="A5" s="23" t="inlineStr">
        <is>
          <t>pu_bel_iddin</t>
        </is>
      </c>
      <c r="B5" s="23" t="inlineStr">
        <is>
          <t>Bel-Iddin</t>
        </is>
      </c>
      <c r="C5" s="23" t="inlineStr">
        <is>
          <t>shield-bearer; lance and shield</t>
        </is>
      </c>
      <c r="D5" s="23" t="n">
        <v>4</v>
      </c>
      <c r="E5" s="17" t="inlineStr">
        <is>
          <t>armor</t>
        </is>
      </c>
      <c r="F5" s="17" t="n">
        <v>15</v>
      </c>
      <c r="G5" s="17" t="n">
        <v>11</v>
      </c>
      <c r="H5" s="23" t="n">
        <v>30</v>
      </c>
      <c r="I5" s="23" t="inlineStr">
        <is>
          <t>holds the aqueduct span alone against everything</t>
        </is>
      </c>
      <c r="J5" s="23" t="inlineStr">
        <is>
          <t>chokepoints and the enemy phase</t>
        </is>
      </c>
      <c r="K5" s="23" t="inlineStr">
        <is>
          <t>General, Great shield</t>
        </is>
      </c>
      <c r="L5" s="30" t="n">
        <v>10</v>
      </c>
      <c r="M5" s="17" t="inlineStr">
        <is>
          <t>lance</t>
        </is>
      </c>
      <c r="N5" s="17" t="n">
        <v>5</v>
      </c>
      <c r="O5" s="17" t="n">
        <v>3</v>
      </c>
      <c r="P5" s="17" t="n">
        <v>6</v>
      </c>
      <c r="Q5" s="17" t="n">
        <v>6</v>
      </c>
      <c r="R5" s="17" t="n">
        <v>5</v>
      </c>
      <c r="S5" s="17" t="n">
        <v>4</v>
      </c>
      <c r="T5" s="17" t="n">
        <v>3</v>
      </c>
      <c r="U5" s="23" t="inlineStr">
        <is>
          <t>the span is one tile wide; he simply does not move</t>
        </is>
      </c>
    </row>
    <row r="6" ht="15" customHeight="1" s="18">
      <c r="A6" s="23" t="inlineStr">
        <is>
          <t>pu_sirru</t>
        </is>
      </c>
      <c r="B6" s="23" t="inlineStr">
        <is>
          <t>Sirru</t>
        </is>
      </c>
      <c r="C6" s="23" t="inlineStr">
        <is>
          <t>archer; bow</t>
        </is>
      </c>
      <c r="D6" s="23" t="n">
        <v>5</v>
      </c>
      <c r="E6" s="17" t="inlineStr">
        <is>
          <t>infantry</t>
        </is>
      </c>
      <c r="F6" s="17" t="n">
        <v>15</v>
      </c>
      <c r="G6" s="17" t="n">
        <v>12</v>
      </c>
      <c r="H6" s="23" t="n">
        <v>18</v>
      </c>
      <c r="I6" s="23" t="inlineStr">
        <is>
          <t>kills across the water channels</t>
        </is>
      </c>
      <c r="J6" s="23" t="inlineStr">
        <is>
          <t>range, and impassable terrain</t>
        </is>
      </c>
      <c r="K6" s="23" t="inlineStr">
        <is>
          <t>Sniper, Pavisier</t>
        </is>
      </c>
      <c r="L6" s="30" t="n">
        <v>11</v>
      </c>
      <c r="M6" s="17" t="inlineStr">
        <is>
          <t>bow</t>
        </is>
      </c>
      <c r="N6" s="17" t="n">
        <v>5</v>
      </c>
      <c r="O6" s="17" t="n">
        <v>3</v>
      </c>
      <c r="P6" s="17" t="n">
        <v>6</v>
      </c>
      <c r="Q6" s="17" t="n">
        <v>6</v>
      </c>
      <c r="R6" s="17" t="n">
        <v>5</v>
      </c>
      <c r="S6" s="17" t="n">
        <v>4</v>
      </c>
      <c r="T6" s="17" t="n">
        <v>3</v>
      </c>
      <c r="U6" s="23" t="inlineStr">
        <is>
          <t>the channels teach that water stops feet and not arrows</t>
        </is>
      </c>
    </row>
    <row r="7" ht="15" customHeight="1" s="18">
      <c r="A7" s="23" t="inlineStr">
        <is>
          <t>pu_kadar</t>
        </is>
      </c>
      <c r="B7" s="23" t="inlineStr">
        <is>
          <t>Kadar</t>
        </is>
      </c>
      <c r="C7" s="23" t="inlineStr">
        <is>
          <t>axe</t>
        </is>
      </c>
      <c r="D7" s="23" t="n">
        <v>5</v>
      </c>
      <c r="E7" s="17" t="inlineStr">
        <is>
          <t>infantry</t>
        </is>
      </c>
      <c r="F7" s="17" t="n">
        <v>15</v>
      </c>
      <c r="G7" s="17" t="n">
        <v>15</v>
      </c>
      <c r="H7" s="23" t="n">
        <v>24</v>
      </c>
      <c r="I7" s="23" t="inlineStr">
        <is>
          <t>one-rounds anything on the terraces</t>
        </is>
      </c>
      <c r="J7" s="23" t="inlineStr">
        <is>
          <t>the weapon triangle</t>
        </is>
      </c>
      <c r="K7" s="23" t="inlineStr">
        <is>
          <t>Warrior, Housecarl</t>
        </is>
      </c>
      <c r="L7" s="30" t="n">
        <v>18</v>
      </c>
      <c r="M7" s="17" t="inlineStr">
        <is>
          <t>axe</t>
        </is>
      </c>
      <c r="N7" s="17" t="n">
        <v>5</v>
      </c>
      <c r="O7" s="17" t="n">
        <v>3</v>
      </c>
      <c r="P7" s="17" t="n">
        <v>6</v>
      </c>
      <c r="Q7" s="17" t="n">
        <v>6</v>
      </c>
      <c r="R7" s="17" t="n">
        <v>5</v>
      </c>
      <c r="S7" s="17" t="n">
        <v>4</v>
      </c>
      <c r="T7" s="17" t="n">
        <v>3</v>
      </c>
      <c r="U7" s="23" t="inlineStr">
        <is>
          <t>the highest damage against the statue, which is the point</t>
        </is>
      </c>
    </row>
    <row r="8" ht="15" customHeight="1" s="18">
      <c r="A8" s="23" t="inlineStr">
        <is>
          <t>pu_ilat</t>
        </is>
      </c>
      <c r="B8" s="23" t="inlineStr">
        <is>
          <t>Ilat</t>
        </is>
      </c>
      <c r="C8" s="23" t="inlineStr">
        <is>
          <t>priestess; faith</t>
        </is>
      </c>
      <c r="D8" s="23" t="n">
        <v>5</v>
      </c>
      <c r="E8" s="17" t="inlineStr">
        <is>
          <t>infantry</t>
        </is>
      </c>
      <c r="F8" s="17" t="n">
        <v>15</v>
      </c>
      <c r="G8" s="17" t="n">
        <v>10</v>
      </c>
      <c r="H8" s="23" t="n">
        <v>16</v>
      </c>
      <c r="I8" s="23" t="inlineStr">
        <is>
          <t>heals, and lifts the fatigue marker</t>
        </is>
      </c>
      <c r="J8" s="23" t="inlineStr">
        <is>
          <t>support actions</t>
        </is>
      </c>
      <c r="K8" s="23" t="inlineStr">
        <is>
          <t>Bishop; the Simurgh's role</t>
        </is>
      </c>
      <c r="L8" s="30" t="n">
        <v>6</v>
      </c>
      <c r="M8" s="17" t="inlineStr">
        <is>
          <t>faith</t>
        </is>
      </c>
      <c r="N8" s="17" t="n">
        <v>3</v>
      </c>
      <c r="O8" s="17" t="n">
        <v>6</v>
      </c>
      <c r="P8" s="17" t="n">
        <v>6</v>
      </c>
      <c r="Q8" s="17" t="n">
        <v>6</v>
      </c>
      <c r="R8" s="17" t="n">
        <v>5</v>
      </c>
      <c r="S8" s="17" t="n">
        <v>4</v>
      </c>
      <c r="T8" s="17" t="n">
        <v>3</v>
      </c>
      <c r="U8" s="23" t="inlineStr">
        <is>
          <t>she can hit the statue too, badly, and the game does not stop her</t>
        </is>
      </c>
    </row>
    <row r="9" ht="23.85" customHeight="1" s="18">
      <c r="A9" s="23" t="inlineStr">
        <is>
          <t>pu_nashar</t>
        </is>
      </c>
      <c r="B9" s="23" t="inlineStr">
        <is>
          <t>Nashar</t>
        </is>
      </c>
      <c r="C9" s="23" t="inlineStr">
        <is>
          <t>the scribe; non-combatant</t>
        </is>
      </c>
      <c r="D9" s="23" t="n">
        <v>5</v>
      </c>
      <c r="E9" s="17" t="inlineStr">
        <is>
          <t>infantry</t>
        </is>
      </c>
      <c r="F9" s="17" t="n">
        <v>15</v>
      </c>
      <c r="G9" s="17" t="n">
        <v>7</v>
      </c>
      <c r="H9" s="23" t="n">
        <v>12</v>
      </c>
      <c r="I9" s="23" t="inlineStr">
        <is>
          <t>follows; cannot attack; must survive</t>
        </is>
      </c>
      <c r="J9" s="23" t="inlineStr">
        <is>
          <t>protect-the-unit, and the ending</t>
        </is>
      </c>
      <c r="K9" s="23" t="inlineStr">
        <is>
          <t>the surveyor, and the whole clerk thread</t>
        </is>
      </c>
      <c r="L9" s="30" t="n">
        <v>0</v>
      </c>
      <c r="N9" s="17" t="n">
        <v>0</v>
      </c>
      <c r="O9" s="17" t="n">
        <v>0</v>
      </c>
      <c r="P9" s="17" t="n">
        <v>0</v>
      </c>
      <c r="Q9" s="17" t="n">
        <v>0</v>
      </c>
      <c r="R9" s="17" t="n">
        <v>0</v>
      </c>
      <c r="S9" s="17" t="n">
        <v>0</v>
      </c>
      <c r="T9" s="17" t="n">
        <v>0</v>
      </c>
      <c r="U9" s="23" t="inlineStr">
        <is>
          <t>the player spends the map vaguely protecting him without knowing why</t>
        </is>
      </c>
    </row>
    <row r="11" ht="15" customHeight="1" s="18">
      <c r="A11" s="25" t="inlineStr">
        <is>
          <t>Eight ancestors, each a preview of a class the player will spend 30 chapters earning. Nobody here is recruitable and nobody here appears again. The roster is a PROMISE, and the campaign is the bill.</t>
        </is>
      </c>
    </row>
    <row r="12">
      <c r="A12" s="17" t="inlineStr">
        <is>
          <t>NOTE -- movement_type sourcing. For each unit, ancestor_of was cross-referenced against classes.movement. pu_sargath/cls_strategist, pu_enmet/cls_warlock, pu_bel_iddin/cls_general+cls_great_shield (both armor), and pu_ilat/cls_bishop are unambiguous single- or agreeing-class matches. pu_tasme=riding is stated outright ('the riding column') and matches her own note. pu_sirru and pu_kadar are each ancestor_of TWO classes with DIFFERENT movement types (Sniper=infantry vs Pavisier=armor; Warrior=infantry vs Housecarl=armor) -- infantry was picked as the first-listed lineage in both cases, not because the prose settles it either way. pu_nashar has no matching class at all ('surveyor'/'clerk thread' aren't class names in the classes tab) and was defaulted to infantry from his non-combat foot-follower role. Review pu_sirru, pu_kadar, and pu_nashar in particular. Drafted by a Claude Code session, 2026-09-14.</t>
        </is>
      </c>
    </row>
    <row r="13">
      <c r="A13" s="17" t="inlineStr">
        <is>
          <t>NOTE -- deploy_row/deploy_col added. deploy_row=15 for all 8 (the court, behind the unbroken wall) is stated outright in map_f00_reference.png's caption. deploy_col is only textually grounded for two units: Sargath at col 9 lines up under his seize objective (also col 9, row 2); Bel-Iddin at col 11 lines up under the aqueduct span, explicitly '(11,12)' in the same caption. Enmet/Sirru/Kadar/Ilat/Nashar's columns are my placement choices (roughly: Enmet beside Sargath since she acts on the wall turn 1; Sirru beside Bel-Iddin near the channel she shoots across; Kadar off to the col-14-16 side where the lower terrace gap is; Ilat/Nashar central with the main group) -- not sourced from anything written, review and correct freely. Drafted by a Claude Code session, 2026-09-14.</t>
        </is>
      </c>
    </row>
    <row r="14">
      <c r="A14" s="17" t="inlineStr">
        <is>
          <t>NOTE -- weapon_art/str/mag/dex/spd/lck/def/res added. weapon_art is read straight off each unit's own 'role' text (e.g. pu_kadar's role is literally 'axe'); pu_nashar is null, matching his existing 'cannot attack' / dmg_vs_statue=0. The 7 numeric stats are NOT newly invented numbers -- all 7 combat-capable units reuse the exact 'trained' tier baseline already established in unit_base_stats/enemy_archetypes generation (identical to ea_relic_hunter's own stats, since enemies get baseline alone with no growth bonus), with str/mag swapped for the two magic-art units (Enmet, Ilat) the same way trained-tier player mages already skew mag over str (see u_emmerich/u_anselm in unit_base_stats). hp and dmg_vs_statue are untouched. This exists to let real unit-vs-unit combat run on this roster at all -- previously only move/hp/dmg_vs_statue existed, nothing Combat.gd could use. Added for the F0 garrison-soldier fight; review/replace freely if named per-unit stats are ever written. Drafted by a Claude Code session, 2026-09-16.</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9.xml><?xml version="1.0" encoding="utf-8"?>
<worksheet xmlns="http://schemas.openxmlformats.org/spreadsheetml/2006/main">
  <sheetPr filterMode="0">
    <outlinePr summaryBelow="1" summaryRight="1"/>
    <pageSetUpPr fitToPage="0"/>
  </sheetPr>
  <dimension ref="A1:I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22" customWidth="1" style="17" min="2" max="2"/>
    <col width="17" customWidth="1" style="17" min="3" max="3"/>
    <col width="8" customWidth="1" style="17" min="4" max="4"/>
    <col width="9" customWidth="1" style="17" min="5" max="5"/>
    <col width="12" customWidth="1" style="17" min="6" max="6"/>
    <col width="22" customWidth="1" style="17" min="7" max="7"/>
    <col width="62" customWidth="1" style="17" min="8" max="8"/>
    <col width="46" customWidth="1" style="17" min="9" max="9"/>
  </cols>
  <sheetData>
    <row r="1" ht="30" customHeight="1" s="18">
      <c r="A1" s="21" t="inlineStr">
        <is>
          <t>structure_id</t>
        </is>
      </c>
      <c r="B1" s="21" t="inlineStr">
        <is>
          <t>name</t>
        </is>
      </c>
      <c r="C1" s="21" t="inlineStr">
        <is>
          <t>turns_to_destroy</t>
        </is>
      </c>
      <c r="D1" s="21" t="inlineStr">
        <is>
          <t>hp</t>
        </is>
      </c>
      <c r="E1" s="21" t="inlineStr">
        <is>
          <t>defence</t>
        </is>
      </c>
      <c r="F1" s="21" t="inlineStr">
        <is>
          <t>retaliates</t>
        </is>
      </c>
      <c r="G1" s="21" t="inlineStr">
        <is>
          <t>requires_multiple_units</t>
        </is>
      </c>
      <c r="H1" s="21" t="inlineStr">
        <is>
          <t>behaviour</t>
        </is>
      </c>
      <c r="I1" s="21" t="inlineStr">
        <is>
          <t>what_it_argues</t>
        </is>
      </c>
    </row>
    <row r="2" ht="23.85" customHeight="1" s="18">
      <c r="A2" s="23" t="inlineStr">
        <is>
          <t>str_wall</t>
        </is>
      </c>
      <c r="B2" s="23" t="inlineStr">
        <is>
          <t>The river wall</t>
        </is>
      </c>
      <c r="C2" s="23" t="n">
        <v>1</v>
      </c>
      <c r="D2" s="23" t="n">
        <v>400</v>
      </c>
      <c r="E2" s="23" t="n">
        <v>0</v>
      </c>
      <c r="F2" s="23" t="inlineStr">
        <is>
          <t>no</t>
        </is>
      </c>
      <c r="G2" s="23" t="inlineStr">
        <is>
          <t>no</t>
        </is>
      </c>
      <c r="H2" s="23" t="inlineStr">
        <is>
          <t>Enmet removes it in one cast on turn 1; 40 tiles of masonry, a generation to build</t>
        </is>
      </c>
      <c r="I2" s="23" t="inlineStr">
        <is>
          <t>SPECTACLE: instant, and it takes one gifted person</t>
        </is>
      </c>
    </row>
    <row r="3" ht="23.85" customHeight="1" s="18">
      <c r="A3" s="23" t="inlineStr">
        <is>
          <t>str_statue</t>
        </is>
      </c>
      <c r="B3" s="23" t="inlineStr">
        <is>
          <t>The patron's image</t>
        </is>
      </c>
      <c r="C3" s="23" t="n">
        <v>5</v>
      </c>
      <c r="D3" s="23" t="n">
        <v>340</v>
      </c>
      <c r="E3" s="23" t="n">
        <v>0</v>
      </c>
      <c r="F3" s="23" t="inlineStr">
        <is>
          <t>no</t>
        </is>
      </c>
      <c r="G3" s="23" t="inlineStr">
        <is>
          <t>yes</t>
        </is>
      </c>
      <c r="H3" s="23" t="inlineStr">
        <is>
          <t>no defence, no retaliation, cannot be one-shot by anyone; every unit must walk up and hit it</t>
        </is>
      </c>
      <c r="I3" s="23" t="inlineStr">
        <is>
          <t>EROSION: slow, communal, boring, and it needs everybody's hands on it</t>
        </is>
      </c>
    </row>
    <row r="5" ht="15" customHeight="1" s="18">
      <c r="A5" s="25" t="inlineStr">
        <is>
          <t>The inversion IS the prologue. Military conquest is instant and spectacular. Cultural erasure is slow and takes the whole warband. No cutscene explains this; the numbers do. Do not let one unit finish the statue.</t>
        </is>
      </c>
    </row>
    <row r="8" ht="15" customHeight="1" s="18">
      <c r="A8" s="25" t="inlineStr">
        <is>
          <t>The image is broken before the name is written, and the name is never shown. Order matters: you</t>
        </is>
      </c>
    </row>
    <row r="9" ht="15" customHeight="1" s="18">
      <c r="A9" s="25" t="inlineStr">
        <is>
          <t>cannot write down a god that people can still see, and the player cannot be told what a god is</t>
        </is>
      </c>
    </row>
    <row r="10" ht="15" customHeight="1" s="18">
      <c r="A10" s="25" t="inlineStr">
        <is>
          <t>called and still share the world's ignorance.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0.xml><?xml version="1.0" encoding="utf-8"?>
<worksheet xmlns="http://schemas.openxmlformats.org/spreadsheetml/2006/main">
  <sheetPr filterMode="0">
    <outlinePr summaryBelow="1" summaryRight="1"/>
    <pageSetUpPr fitToPage="0"/>
  </sheetPr>
  <dimension ref="A1:E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2" customWidth="1" style="17" min="1" max="1"/>
    <col width="18" customWidth="1" style="17" min="2" max="2"/>
    <col width="12" customWidth="1" style="17" min="3" max="3"/>
    <col width="16" customWidth="1" style="17" min="4" max="4"/>
    <col width="46" customWidth="1" style="17" min="5" max="5"/>
  </cols>
  <sheetData>
    <row r="1" ht="30" customHeight="1" s="18">
      <c r="A1" s="21" t="inlineStr">
        <is>
          <t>scenario</t>
        </is>
      </c>
      <c r="B1" s="21" t="inlineStr">
        <is>
          <t>damage_per_turn</t>
        </is>
      </c>
      <c r="C1" s="21" t="inlineStr">
        <is>
          <t>statue_hp</t>
        </is>
      </c>
      <c r="D1" s="21" t="inlineStr">
        <is>
          <t>turns_required</t>
        </is>
      </c>
      <c r="E1" s="21" t="inlineStr">
        <is>
          <t>reading</t>
        </is>
      </c>
    </row>
    <row r="2" ht="15" customHeight="1" s="18">
      <c r="A2" s="23" t="inlineStr">
        <is>
          <t>all seven combatants attacking every turn</t>
        </is>
      </c>
      <c r="B2" s="23" t="n">
        <v>87</v>
      </c>
      <c r="C2" s="23" t="n">
        <v>340</v>
      </c>
      <c r="D2" s="23" t="n">
        <v>4</v>
      </c>
      <c r="E2" s="23" t="inlineStr">
        <is>
          <t>the intended pace</t>
        </is>
      </c>
    </row>
    <row r="3" ht="15" customHeight="1" s="18">
      <c r="A3" s="23" t="inlineStr">
        <is>
          <t>without Kadar (the heaviest hitter)</t>
        </is>
      </c>
      <c r="B3" s="23" t="n">
        <v>69</v>
      </c>
      <c r="C3" s="23" t="n">
        <v>340</v>
      </c>
      <c r="D3" s="23" t="n">
        <v>5</v>
      </c>
      <c r="E3" s="23" t="inlineStr">
        <is>
          <t>still finishes; nobody is mandatory</t>
        </is>
      </c>
    </row>
    <row r="4" ht="15" customHeight="1" s="18">
      <c r="A4" s="23" t="inlineStr">
        <is>
          <t>Kadar alone</t>
        </is>
      </c>
      <c r="B4" s="23" t="n">
        <v>18</v>
      </c>
      <c r="C4" s="23" t="n">
        <v>340</v>
      </c>
      <c r="D4" s="23" t="n">
        <v>19</v>
      </c>
      <c r="E4" s="23" t="inlineStr">
        <is>
          <t>far too slow -- the solo route is closed by arithmetic</t>
        </is>
      </c>
    </row>
    <row r="5" ht="15" customHeight="1" s="18">
      <c r="A5" s="23" t="inlineStr">
        <is>
          <t>Sargath alone</t>
        </is>
      </c>
      <c r="B5" s="23" t="n">
        <v>14</v>
      </c>
      <c r="C5" s="23" t="n">
        <v>340</v>
      </c>
      <c r="D5" s="23" t="n">
        <v>25</v>
      </c>
      <c r="E5" s="23" t="inlineStr">
        <is>
          <t>the king cannot do this by himself, which is the point</t>
        </is>
      </c>
    </row>
    <row r="7" ht="15" customHeight="1" s="18">
      <c r="A7" s="25" t="inlineStr">
        <is>
          <t>Statue at 340 HP against 87 damage per turn from seven combatants gives 4 turns of the entire warband hitting an object that does not move. Tune statue_hp, not the unit damage -- the per-unit numbers are characterisation.</t>
        </is>
      </c>
    </row>
    <row r="11" ht="15" customHeight="1" s="18">
      <c r="A11" s="25" t="inlineStr">
        <is>
          <t>STATUE ACCESS (from the tile grid): only 4 orthogonal tiles touch the image, so 7 combatants</t>
        </is>
      </c>
    </row>
    <row r="12" ht="15" customHeight="1" s="18">
      <c r="A12" s="25" t="inlineStr">
        <is>
          <t>cannot all swing in the same turn -- the warband has to ROTATE through it. That stretches the</t>
        </is>
      </c>
    </row>
    <row r="13" ht="15" customHeight="1" s="18">
      <c r="A13" s="25" t="inlineStr">
        <is>
          <t>arithmetic-4-turns into 5-6 turns of actual play, which is the intended feeling.</t>
        </is>
      </c>
    </row>
    <row r="14" ht="15" customHeight="1" s="18">
      <c r="A14" s="25" t="inlineStr">
        <is>
          <t>Tasme cannot reach the temple terrace at all: chariots do not climb. She watches from the court.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1.xml><?xml version="1.0" encoding="utf-8"?>
<worksheet xmlns="http://schemas.openxmlformats.org/spreadsheetml/2006/main">
  <sheetPr filterMode="0">
    <outlinePr summaryBelow="1" summaryRight="1"/>
    <pageSetUpPr fitToPage="0"/>
  </sheetPr>
  <dimension ref="A1:H2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2"/>
    <col width="15" customWidth="1" style="17" min="3" max="3"/>
    <col width="10" customWidth="1" style="17" min="4" max="4"/>
    <col width="44" customWidth="1" style="17" min="5" max="5"/>
    <col width="40" customWidth="1" style="17" min="6" max="6"/>
    <col width="46" customWidth="1" style="17" min="7" max="7"/>
    <col width="54" customWidth="1" style="17" min="8" max="8"/>
  </cols>
  <sheetData>
    <row r="1" ht="30" customHeight="1" s="18">
      <c r="A1" s="21" t="inlineStr">
        <is>
          <t>sign_id</t>
        </is>
      </c>
      <c r="B1" s="21" t="inlineStr">
        <is>
          <t>name</t>
        </is>
      </c>
      <c r="C1" s="21" t="inlineStr">
        <is>
          <t>season</t>
        </is>
      </c>
      <c r="D1" s="21" t="inlineStr">
        <is>
          <t>element</t>
        </is>
      </c>
      <c r="E1" s="21" t="inlineStr">
        <is>
          <t>archetype</t>
        </is>
      </c>
      <c r="F1" s="21" t="inlineStr">
        <is>
          <t>virtue</t>
        </is>
      </c>
      <c r="G1" s="21" t="inlineStr">
        <is>
          <t>failure_mode</t>
        </is>
      </c>
      <c r="H1" s="21" t="inlineStr">
        <is>
          <t>calendar_note</t>
        </is>
      </c>
    </row>
    <row r="2" ht="23.85" customHeight="1" s="18">
      <c r="A2" s="23" t="inlineStr">
        <is>
          <t>sgn_ram</t>
        </is>
      </c>
      <c r="B2" s="23" t="inlineStr">
        <is>
          <t>the Ram</t>
        </is>
      </c>
      <c r="C2" s="23" t="inlineStr">
        <is>
          <t>spring, first</t>
        </is>
      </c>
      <c r="D2" s="23" t="inlineStr">
        <is>
          <t>fire</t>
        </is>
      </c>
      <c r="E2" s="23" t="inlineStr">
        <is>
          <t>the one who goes first and does not look back</t>
        </is>
      </c>
      <c r="F2" s="23" t="inlineStr">
        <is>
          <t>decisive under pressure</t>
        </is>
      </c>
      <c r="G2" s="23" t="inlineStr">
        <is>
          <t>cannot sit still long enough to be told the plan</t>
        </is>
      </c>
      <c r="H2" s="23" t="inlineStr">
        <is>
          <t>the Diadem keeps the Venerated's feast here: born at the lambing, hence the title</t>
        </is>
      </c>
    </row>
    <row r="3" ht="15" customHeight="1" s="18">
      <c r="A3" s="23" t="inlineStr">
        <is>
          <t>sgn_bull</t>
        </is>
      </c>
      <c r="B3" s="23" t="inlineStr">
        <is>
          <t>the Bull</t>
        </is>
      </c>
      <c r="C3" s="23" t="inlineStr">
        <is>
          <t>spring, second</t>
        </is>
      </c>
      <c r="D3" s="23" t="inlineStr">
        <is>
          <t>earth</t>
        </is>
      </c>
      <c r="E3" s="23" t="inlineStr">
        <is>
          <t>the one who will not be moved</t>
        </is>
      </c>
      <c r="F3" s="23" t="inlineStr">
        <is>
          <t>holds ground nobody else could</t>
        </is>
      </c>
      <c r="G3" s="23" t="inlineStr">
        <is>
          <t>mistakes stubbornness for principle</t>
        </is>
      </c>
    </row>
    <row r="4" ht="15" customHeight="1" s="18">
      <c r="A4" s="23" t="inlineStr">
        <is>
          <t>sgn_twins</t>
        </is>
      </c>
      <c r="B4" s="23" t="inlineStr">
        <is>
          <t>the Twins</t>
        </is>
      </c>
      <c r="C4" s="23" t="inlineStr">
        <is>
          <t>spring, third</t>
        </is>
      </c>
      <c r="D4" s="23" t="inlineStr">
        <is>
          <t>air</t>
        </is>
      </c>
      <c r="E4" s="23" t="inlineStr">
        <is>
          <t>the one who argues both sides</t>
        </is>
      </c>
      <c r="F4" s="23" t="inlineStr">
        <is>
          <t>sees the case against their own position</t>
        </is>
      </c>
      <c r="G4" s="23" t="inlineStr">
        <is>
          <t>will not commit while a better argument exists</t>
        </is>
      </c>
    </row>
    <row r="5" ht="15" customHeight="1" s="18">
      <c r="A5" s="23" t="inlineStr">
        <is>
          <t>sgn_crab</t>
        </is>
      </c>
      <c r="B5" s="23" t="inlineStr">
        <is>
          <t>the Crab</t>
        </is>
      </c>
      <c r="C5" s="23" t="inlineStr">
        <is>
          <t>summer, first</t>
        </is>
      </c>
      <c r="D5" s="23" t="inlineStr">
        <is>
          <t>water</t>
        </is>
      </c>
      <c r="E5" s="23" t="inlineStr">
        <is>
          <t>the one who guards the house</t>
        </is>
      </c>
      <c r="F5" s="23" t="inlineStr">
        <is>
          <t>loyal past reason</t>
        </is>
      </c>
      <c r="G5" s="23" t="inlineStr">
        <is>
          <t>the loyalty is to people, not to the cause, and it shows</t>
        </is>
      </c>
    </row>
    <row r="6" ht="23.85" customHeight="1" s="18">
      <c r="A6" s="23" t="inlineStr">
        <is>
          <t>sgn_lion</t>
        </is>
      </c>
      <c r="B6" s="23" t="inlineStr">
        <is>
          <t>the Lion</t>
        </is>
      </c>
      <c r="C6" s="23" t="inlineStr">
        <is>
          <t>summer, second</t>
        </is>
      </c>
      <c r="D6" s="23" t="inlineStr">
        <is>
          <t>fire</t>
        </is>
      </c>
      <c r="E6" s="23" t="inlineStr">
        <is>
          <t>the one who must be seen</t>
        </is>
      </c>
      <c r="F6" s="23" t="inlineStr">
        <is>
          <t>leads from in front because being watched steadies them</t>
        </is>
      </c>
      <c r="G6" s="23" t="inlineStr">
        <is>
          <t>cannot take a demotion gracefully</t>
        </is>
      </c>
    </row>
    <row r="7" ht="15" customHeight="1" s="18">
      <c r="A7" s="23" t="inlineStr">
        <is>
          <t>sgn_maiden</t>
        </is>
      </c>
      <c r="B7" s="23" t="inlineStr">
        <is>
          <t>the Maiden</t>
        </is>
      </c>
      <c r="C7" s="23" t="inlineStr">
        <is>
          <t>summer, third</t>
        </is>
      </c>
      <c r="D7" s="23" t="inlineStr">
        <is>
          <t>earth</t>
        </is>
      </c>
      <c r="E7" s="23" t="inlineStr">
        <is>
          <t>the one who keeps the record</t>
        </is>
      </c>
      <c r="F7" s="23" t="inlineStr">
        <is>
          <t>notices the discrepancy nobody else did</t>
        </is>
      </c>
      <c r="G7" s="23" t="inlineStr">
        <is>
          <t>corrects people who did not ask</t>
        </is>
      </c>
    </row>
    <row r="8" ht="15" customHeight="1" s="18">
      <c r="A8" s="23" t="inlineStr">
        <is>
          <t>sgn_scales</t>
        </is>
      </c>
      <c r="B8" s="23" t="inlineStr">
        <is>
          <t>the Scales</t>
        </is>
      </c>
      <c r="C8" s="23" t="inlineStr">
        <is>
          <t>autumn, first</t>
        </is>
      </c>
      <c r="D8" s="23" t="inlineStr">
        <is>
          <t>air</t>
        </is>
      </c>
      <c r="E8" s="23" t="inlineStr">
        <is>
          <t>the one who weighs</t>
        </is>
      </c>
      <c r="F8" s="23" t="inlineStr">
        <is>
          <t>the fairest arbiter in the room</t>
        </is>
      </c>
      <c r="G8" s="23" t="inlineStr">
        <is>
          <t>delay disguised as deliberation</t>
        </is>
      </c>
    </row>
    <row r="9" ht="15" customHeight="1" s="18">
      <c r="A9" s="23" t="inlineStr">
        <is>
          <t>sgn_scorpion</t>
        </is>
      </c>
      <c r="B9" s="23" t="inlineStr">
        <is>
          <t>the Scorpion</t>
        </is>
      </c>
      <c r="C9" s="23" t="inlineStr">
        <is>
          <t>autumn, second</t>
        </is>
      </c>
      <c r="D9" s="23" t="inlineStr">
        <is>
          <t>water</t>
        </is>
      </c>
      <c r="E9" s="23" t="inlineStr">
        <is>
          <t>the one who does not forget</t>
        </is>
      </c>
      <c r="F9" s="23" t="inlineStr">
        <is>
          <t>carries the grudge that keeps everyone honest</t>
        </is>
      </c>
      <c r="G9" s="23" t="inlineStr">
        <is>
          <t>carries it long after it stopped being useful</t>
        </is>
      </c>
    </row>
    <row r="10" ht="23.85" customHeight="1" s="18">
      <c r="A10" s="23" t="inlineStr">
        <is>
          <t>sgn_archer</t>
        </is>
      </c>
      <c r="B10" s="23" t="inlineStr">
        <is>
          <t>the Archer</t>
        </is>
      </c>
      <c r="C10" s="23" t="inlineStr">
        <is>
          <t>autumn, third</t>
        </is>
      </c>
      <c r="D10" s="23" t="inlineStr">
        <is>
          <t>fire</t>
        </is>
      </c>
      <c r="E10" s="23" t="inlineStr">
        <is>
          <t>the one who goes further out</t>
        </is>
      </c>
      <c r="F10" s="23" t="inlineStr">
        <is>
          <t>the scout who comes back with the thing you needed</t>
        </is>
      </c>
      <c r="G10" s="23" t="inlineStr">
        <is>
          <t>says the true thing at the worst moment</t>
        </is>
      </c>
    </row>
    <row r="11" ht="15" customHeight="1" s="18">
      <c r="A11" s="23" t="inlineStr">
        <is>
          <t>sgn_goat</t>
        </is>
      </c>
      <c r="B11" s="23" t="inlineStr">
        <is>
          <t>the Goat</t>
        </is>
      </c>
      <c r="C11" s="23" t="inlineStr">
        <is>
          <t>winter, first</t>
        </is>
      </c>
      <c r="D11" s="23" t="inlineStr">
        <is>
          <t>earth</t>
        </is>
      </c>
      <c r="E11" s="23" t="inlineStr">
        <is>
          <t>the one who climbs</t>
        </is>
      </c>
      <c r="F11" s="23" t="inlineStr">
        <is>
          <t>will do the unglamorous work for years</t>
        </is>
      </c>
      <c r="G11" s="23" t="inlineStr">
        <is>
          <t>measures people by what they have built</t>
        </is>
      </c>
    </row>
    <row r="12" ht="15" customHeight="1" s="18">
      <c r="A12" s="23" t="inlineStr">
        <is>
          <t>sgn_vessel</t>
        </is>
      </c>
      <c r="B12" s="23" t="inlineStr">
        <is>
          <t>the Vessel</t>
        </is>
      </c>
      <c r="C12" s="23" t="inlineStr">
        <is>
          <t>winter, second</t>
        </is>
      </c>
      <c r="D12" s="23" t="inlineStr">
        <is>
          <t>air</t>
        </is>
      </c>
      <c r="E12" s="23" t="inlineStr">
        <is>
          <t>the one who pours out</t>
        </is>
      </c>
      <c r="F12" s="23" t="inlineStr">
        <is>
          <t>gives away what they needed</t>
        </is>
      </c>
      <c r="G12" s="23" t="inlineStr">
        <is>
          <t>belongs to everyone and therefore to nobody</t>
        </is>
      </c>
    </row>
    <row r="13" ht="15" customHeight="1" s="18">
      <c r="A13" s="23" t="inlineStr">
        <is>
          <t>sgn_fishes</t>
        </is>
      </c>
      <c r="B13" s="23" t="inlineStr">
        <is>
          <t>the Fishes</t>
        </is>
      </c>
      <c r="C13" s="23" t="inlineStr">
        <is>
          <t>winter, third</t>
        </is>
      </c>
      <c r="D13" s="23" t="inlineStr">
        <is>
          <t>water</t>
        </is>
      </c>
      <c r="E13" s="23" t="inlineStr">
        <is>
          <t>the one who dissolves the boundary</t>
        </is>
      </c>
      <c r="F13" s="23" t="inlineStr">
        <is>
          <t>understands the enemy too well to hate them</t>
        </is>
      </c>
      <c r="G13" s="23" t="inlineStr">
        <is>
          <t>understands the enemy too well to fight them</t>
        </is>
      </c>
    </row>
    <row r="15" ht="15" customHeight="1" s="18">
      <c r="A15" s="25" t="inlineStr">
        <is>
          <t>FOR WRITING SUPPORTS, not for stats. Each sign is a recognisable archetype with a virtue and the failure mode that is the SAME TRAIT overdrawn -- the Archer's honesty and their worst-moment timing are one thing. Pair two signs and the A-support tension writes itself: Scales and Ram disagree about how long to think; Maiden and Twins both notice everything and do opposite things with it. CAUTION: the sign is a starting point for a character, never a substitute for one. If a support could be swapped between two units of the same sign without changing, it is not written yet.</t>
        </is>
      </c>
    </row>
    <row r="18" ht="15" customHeight="1" s="18">
      <c r="A18" s="25" t="inlineStr">
        <is>
          <t>WORKED EXAMPLE -- Rinsa, the descender at the oracle. First pass assigned her the Fishes off</t>
        </is>
      </c>
    </row>
    <row r="19" ht="15" customHeight="1" s="18">
      <c r="A19" s="25" t="inlineStr">
        <is>
          <t>'understands the enemy too well', which was wrong: dissolving the boundary means she would have</t>
        </is>
      </c>
    </row>
    <row r="20" ht="15" customHeight="1" s="18">
      <c r="A20" s="25" t="inlineStr">
        <is>
          <t>gone native years ago. The Vessel is right -- detached from the thing she is inside of. She pours</t>
        </is>
      </c>
    </row>
    <row r="21" ht="15" customHeight="1" s="18">
      <c r="A21" s="25" t="inlineStr">
        <is>
          <t>out for hundreds of strangers and belongs to none of them, and her refusal to say whether the</t>
        </is>
      </c>
    </row>
    <row r="22" ht="15" customHeight="1" s="18">
      <c r="A22" s="25" t="inlineStr">
        <is>
          <t>oracle is real is INTELLECTUAL HONESTY, not mysticism: she has the data and will not over-claim</t>
        </is>
      </c>
    </row>
    <row r="23" ht="15" customHeight="1" s="18">
      <c r="A23" s="25" t="inlineStr">
        <is>
          <t>from it. Voice follows: analytical, dry, faintly irritated by people certain in either direction.</t>
        </is>
      </c>
    </row>
    <row r="24" ht="15" customHeight="1" s="18">
      <c r="A24" s="25" t="inlineStr">
        <is>
          <t>The lesson is that the sign has to be argued from behaviour, not picked off a keyword.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2.xml><?xml version="1.0" encoding="utf-8"?>
<worksheet xmlns="http://schemas.openxmlformats.org/spreadsheetml/2006/main">
  <sheetPr filterMode="0">
    <outlinePr summaryBelow="1" summaryRight="1"/>
    <pageSetUpPr fitToPage="0"/>
  </sheetPr>
  <dimension ref="A1:C1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0" customWidth="1" style="17" min="1" max="1"/>
    <col width="24" customWidth="1" style="17" min="2" max="2"/>
    <col width="96" customWidth="1" style="17" min="3" max="3"/>
  </cols>
  <sheetData>
    <row r="1" ht="30" customHeight="1" s="18">
      <c r="A1" s="21" t="inlineStr">
        <is>
          <t>position</t>
        </is>
      </c>
      <c r="B1" s="21" t="inlineStr">
        <is>
          <t>claim</t>
        </is>
      </c>
      <c r="C1" s="21" t="inlineStr">
        <is>
          <t>detail</t>
        </is>
      </c>
    </row>
    <row r="2" ht="35.05" customHeight="1" s="18">
      <c r="A2" s="23" t="inlineStr">
        <is>
          <t>The register is an astrological document</t>
        </is>
      </c>
      <c r="B2" s="23" t="n"/>
      <c r="C2" s="23" t="inlineStr">
        <is>
          <t>The Goetic spirits are traditionally assigned to the decans -- the 36 ten-degree divisions of the zodiac, two spirits to each, 72 in all. So Sargath's list of bound patrons maps onto the sky. Nobody in the present designed this; they inherited it and argue about it.</t>
        </is>
      </c>
    </row>
    <row r="3" ht="46.25" customHeight="1" s="18">
      <c r="A3" s="23" t="inlineStr">
        <is>
          <t>THE CALENDAR SCHISM</t>
        </is>
      </c>
      <c r="B3" s="23" t="n"/>
      <c r="C3" s="23" t="inlineStr">
        <is>
          <t>The sects disagree about WHEN the Venerated was born. That fixes the sign, which fixes the governing decan, which fixes which feast is kept and which spirits are properly theirs to invoke. Nobody can settle it because the records are copies of copies. This is the Easter computus fight, which really did split churches over arithmetic, and it is exactly the kind of dispute this game is about.</t>
        </is>
      </c>
    </row>
    <row r="4" ht="15" customHeight="1" s="18">
      <c r="A4" s="23" t="inlineStr">
        <is>
          <t>The Diadem / court position</t>
        </is>
      </c>
      <c r="B4" s="23" t="inlineStr">
        <is>
          <t>the Ram, spring</t>
        </is>
      </c>
      <c r="C4" s="23" t="inlineStr">
        <is>
          <t>born at the lambing; the title follows from the season, not the other way round</t>
        </is>
      </c>
    </row>
    <row r="5" ht="15" customHeight="1" s="18">
      <c r="A5" s="23" t="inlineStr">
        <is>
          <t>The Continuing Word</t>
        </is>
      </c>
      <c r="B5" s="23" t="inlineStr">
        <is>
          <t>the Vessel, winter</t>
        </is>
      </c>
      <c r="C5" s="23" t="inlineStr">
        <is>
          <t>the seer says so, and new scripture is still arriving, so the date can move</t>
        </is>
      </c>
    </row>
    <row r="6" ht="15" customHeight="1" s="18">
      <c r="A6" s="23" t="inlineStr">
        <is>
          <t>The Unstained</t>
        </is>
      </c>
      <c r="B6" s="23" t="inlineStr">
        <is>
          <t>no feast is valid</t>
        </is>
      </c>
      <c r="C6" s="23" t="inlineStr">
        <is>
          <t>any calendar kept by complicit hands is void; they observe nothing until it is re-made clean</t>
        </is>
      </c>
    </row>
    <row r="7" ht="15" customHeight="1" s="18">
      <c r="A7" s="23" t="inlineStr">
        <is>
          <t>The Company of the Road</t>
        </is>
      </c>
      <c r="B7" s="23" t="inlineStr">
        <is>
          <t>the Scales, autumn</t>
        </is>
      </c>
      <c r="C7" s="23" t="inlineStr">
        <is>
          <t>the reckoning season, when accounts are settled; convenient, and they know it</t>
        </is>
      </c>
    </row>
    <row r="8" ht="15" customHeight="1" s="18">
      <c r="A8" s="23" t="inlineStr">
        <is>
          <t>The silent</t>
        </is>
      </c>
      <c r="B8" s="23" t="inlineStr">
        <is>
          <t>(refuse to say)</t>
        </is>
      </c>
      <c r="C8" s="23" t="inlineStr">
        <is>
          <t>they are the only ones who might know</t>
        </is>
      </c>
    </row>
    <row r="9" ht="35.05" customHeight="1" s="18">
      <c r="A9" s="23" t="inlineStr">
        <is>
          <t>MECHANICAL FOOTPRINT -- keep it light</t>
        </is>
      </c>
      <c r="B9" s="23" t="n"/>
      <c r="C9" s="23" t="inlineStr">
        <is>
          <t>Each Named and each pact-holder is governed by a decan. The calendar tells you which, so certain chapters carry a soft advantage, legible from the briefing, with no new menu. The sect you side with changes which days favour you -- which is astrology doing what people actually used it for. Do not let this become a second stat system.</t>
        </is>
      </c>
    </row>
    <row r="11" ht="15" customHeight="1" s="18">
      <c r="A11" s="25" t="inlineStr">
        <is>
          <t>One dispute, five answers, no resolution. Same shape as every other question in the game.</t>
        </is>
      </c>
    </row>
    <row r="14" ht="15" customHeight="1" s="18">
      <c r="A14" s="25" t="inlineStr">
        <is>
          <t>PARTIALLY RESOLVED 2026-08-21: the WHO is now set (see guest_units.gst_anna -- Anna is the one who might know). The exact scripted beat (what the token proves, who contests it) is still not authored. Any future scene using this token must be checked against both this row and gst_anna.act3_payoff.</t>
        </is>
      </c>
    </row>
    <row r="15" ht="15" customHeight="1" s="18">
      <c r="A15" s="25" t="inlineStr">
        <is>
          <t>evidence in the calendar schism in Act 3. The specific beat -- what it proves, who contests it,</t>
        </is>
      </c>
    </row>
    <row r="16" ht="15" customHeight="1" s="18">
      <c r="A16" s="25" t="inlineStr">
        <is>
          <t>how it pays off -- is NOT YET AUTHORED. Flagging here so the dependency is visible before Act 3</t>
        </is>
      </c>
    </row>
    <row r="17" ht="15" customHeight="1" s="18">
      <c r="A17" s="25" t="inlineStr">
        <is>
          <t>chapters are drafted; a scene using this token must be checked against whatever gets decided.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3.xml><?xml version="1.0" encoding="utf-8"?>
<worksheet xmlns="http://schemas.openxmlformats.org/spreadsheetml/2006/main">
  <sheetPr filterMode="0">
    <outlinePr summaryBelow="1" summaryRight="1"/>
    <pageSetUpPr fitToPage="0"/>
  </sheetPr>
  <dimension ref="A1:H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6" customWidth="1" style="17" min="2" max="2"/>
    <col width="14" customWidth="1" style="17" min="3" max="3"/>
    <col width="13" customWidth="1" style="17" min="4" max="4"/>
    <col width="20" customWidth="1" style="17" min="5" max="5"/>
    <col width="52" customWidth="1" style="17" min="6" max="6"/>
    <col width="48" customWidth="1" style="17" min="7" max="7"/>
    <col width="62" customWidth="1" style="17" min="8" max="8"/>
  </cols>
  <sheetData>
    <row r="1" ht="30" customHeight="1" s="18">
      <c r="A1" s="21" t="inlineStr">
        <is>
          <t>practice_id</t>
        </is>
      </c>
      <c r="B1" s="21" t="inlineStr">
        <is>
          <t>name</t>
        </is>
      </c>
      <c r="C1" s="21" t="inlineStr">
        <is>
          <t>sect_id</t>
        </is>
      </c>
      <c r="D1" s="21" t="inlineStr">
        <is>
          <t>cadence</t>
        </is>
      </c>
      <c r="E1" s="21" t="inlineStr">
        <is>
          <t>cost</t>
        </is>
      </c>
      <c r="F1" s="21" t="inlineStr">
        <is>
          <t>what_happens</t>
        </is>
      </c>
      <c r="G1" s="21" t="inlineStr">
        <is>
          <t>what_it_claims</t>
        </is>
      </c>
      <c r="H1" s="21" t="inlineStr">
        <is>
          <t>notes</t>
        </is>
      </c>
    </row>
    <row r="2" ht="35.05" customHeight="1" s="18">
      <c r="A2" s="23" t="inlineStr">
        <is>
          <t>prc_pilgrimage</t>
        </is>
      </c>
      <c r="B2" s="23" t="inlineStr">
        <is>
          <t>The Shoulder pilgrimage</t>
        </is>
      </c>
      <c r="C2" s="23" t="inlineStr">
        <is>
          <t>sect_march</t>
        </is>
      </c>
      <c r="D2" s="23" t="inlineStr">
        <is>
          <t>annual</t>
        </is>
      </c>
      <c r="E2" s="23" t="inlineStr">
        <is>
          <t>free</t>
        </is>
      </c>
      <c r="F2" s="23" t="inlineStr">
        <is>
          <t>walk the road up to the shoulder of the peak, keep vigil, come down</t>
        </is>
      </c>
      <c r="G2" s="23" t="inlineStr">
        <is>
          <t>THE ASCENT MUST BE PERMITTED, NEVER ATTEMPTED. Nobody summits. The peak is not a destination, and daring is the sin</t>
        </is>
      </c>
      <c r="H2" s="23" t="inlineStr">
        <is>
          <t>the one thing they believe is up there is the one place their own doctrine forbids them to reach; when somebody finally goes over the top it is a SCHISM, not an adventure</t>
        </is>
      </c>
    </row>
    <row r="3" ht="46.25" customHeight="1" s="18">
      <c r="A3" s="23" t="inlineStr">
        <is>
          <t>prc_oracle</t>
        </is>
      </c>
      <c r="B3" s="23" t="inlineStr">
        <is>
          <t>The oracle of the dead</t>
        </is>
      </c>
      <c r="C3" s="23" t="inlineStr">
        <is>
          <t>sect_march</t>
        </is>
      </c>
      <c r="D3" s="23" t="inlineStr">
        <is>
          <t>continuous</t>
        </is>
      </c>
      <c r="E3" s="23" t="inlineStr">
        <is>
          <t>a fee, and a procedure</t>
        </is>
      </c>
      <c r="F3" s="23" t="inlineStr">
        <is>
          <t>a real building at the mouth of the high valley, staffed, with a waiting list; you fast, you are led down, you are permitted one question</t>
        </is>
      </c>
      <c r="G3" s="23" t="inlineStr">
        <is>
          <t>the dead are not resting, they are busy, and they can be reached at a price</t>
        </is>
      </c>
      <c r="H3" s="23" t="inlineStr">
        <is>
          <t>COMMERCIALISED RELIGION, played straight: people come from both states, including people who despise the sect, because their child died in the plague and they want to ask something. This -- not doctrine -- is how the Continuing Word gets its reach</t>
        </is>
      </c>
    </row>
    <row r="4" ht="23.85" customHeight="1" s="18">
      <c r="A4" s="23" t="inlineStr">
        <is>
          <t>prc_sky_burial</t>
        </is>
      </c>
      <c r="B4" s="23" t="inlineStr">
        <is>
          <t>The high burial</t>
        </is>
      </c>
      <c r="C4" s="23" t="inlineStr">
        <is>
          <t>sect_march</t>
        </is>
      </c>
      <c r="D4" s="23" t="inlineStr">
        <is>
          <t>as needed</t>
        </is>
      </c>
      <c r="E4" s="23" t="inlineStr">
        <is>
          <t>free</t>
        </is>
      </c>
      <c r="F4" s="23" t="inlineStr">
        <is>
          <t>the dead are left on a charnel terrace at altitude for the birds</t>
        </is>
      </c>
      <c r="G4" s="23" t="inlineStr">
        <is>
          <t>the body is a vessel; the soul has a post to get to and should not be delayed</t>
        </is>
      </c>
      <c r="H4" s="23" t="inlineStr">
        <is>
          <t>grimly practical above the treeline where the ground is frozen; also an unforgettable map</t>
        </is>
      </c>
    </row>
    <row r="5" ht="23.85" customHeight="1" s="18">
      <c r="A5" s="23" t="inlineStr">
        <is>
          <t>prc_rebaptism</t>
        </is>
      </c>
      <c r="B5" s="23" t="inlineStr">
        <is>
          <t>Enrolment of the dead</t>
        </is>
      </c>
      <c r="C5" s="23" t="inlineStr">
        <is>
          <t>sect_march</t>
        </is>
      </c>
      <c r="D5" s="23" t="inlineStr">
        <is>
          <t>continuous</t>
        </is>
      </c>
      <c r="E5" s="23" t="inlineStr">
        <is>
          <t>free</t>
        </is>
      </c>
      <c r="F5" s="23" t="inlineStr">
        <is>
          <t>the plague dead are rebaptised by name, read off the parish lists</t>
        </is>
      </c>
      <c r="G5" s="23" t="inlineStr">
        <is>
          <t>nobody is enrolled without their name being spoken</t>
        </is>
      </c>
      <c r="H5" s="23" t="inlineStr">
        <is>
          <t>puts the prophets and the crown's clerks in the same archive, for opposite reasons</t>
        </is>
      </c>
    </row>
    <row r="7" ht="15" customHeight="1" s="18">
      <c r="A7" s="25" t="inlineStr">
        <is>
          <t>Practices are how a sect touches people who do not believe it. Doctrine recruits the convinced; a staffed oracle with a fee recruits the grieving, which is a far larger market. The Greek precedent is literal: a real river, a real building at Acheron, a real procedure, an unfalsifiable claim.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4.xml><?xml version="1.0" encoding="utf-8"?>
<worksheet xmlns="http://schemas.openxmlformats.org/spreadsheetml/2006/main">
  <sheetPr filterMode="0">
    <outlinePr summaryBelow="1" summaryRight="1"/>
    <pageSetUpPr fitToPage="0"/>
  </sheetPr>
  <dimension ref="A1:C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2" customWidth="1" style="17" min="1" max="1"/>
    <col width="26" customWidth="1" style="17" min="2" max="2"/>
    <col width="92" customWidth="1" style="17" min="3" max="3"/>
  </cols>
  <sheetData>
    <row r="1" ht="30" customHeight="1" s="18">
      <c r="A1" s="21" t="inlineStr">
        <is>
          <t>point</t>
        </is>
      </c>
      <c r="B1" s="21" t="inlineStr">
        <is>
          <t>status</t>
        </is>
      </c>
      <c r="C1" s="21" t="inlineStr">
        <is>
          <t>detail</t>
        </is>
      </c>
    </row>
    <row r="2" ht="15" customHeight="1" s="18">
      <c r="A2" s="23" t="inlineStr">
        <is>
          <t>The Enlightened One comes from the Company of the Road</t>
        </is>
      </c>
      <c r="B2" s="23" t="inlineStr">
        <is>
          <t>CANON, decided 2026-08-19</t>
        </is>
      </c>
      <c r="C2" s="23" t="inlineStr">
        <is>
          <t>The only sect with a state behind it, an economy, and a distribution network the player personally built in Act 1.</t>
        </is>
      </c>
    </row>
    <row r="3" ht="23.85" customHeight="1" s="18">
      <c r="A3" s="23" t="inlineStr">
        <is>
          <t>Why their doctrine and no other</t>
        </is>
      </c>
      <c r="B3" s="23" t="n"/>
      <c r="C3" s="23" t="inlineStr">
        <is>
          <t>If grace is met in exchange, a god is something that can be OFFERED rather than awaited. He is not a prophet and not a purified vessel. He is a party to a transaction, and he arrives with terms.</t>
        </is>
      </c>
    </row>
    <row r="4" ht="35.05" customHeight="1" s="18">
      <c r="A4" s="23" t="inlineStr">
        <is>
          <t>The horror is competence, and the competence is GENEROSITY</t>
        </is>
      </c>
      <c r="B4" s="23" t="n"/>
      <c r="C4" s="23" t="inlineStr">
        <is>
          <t>He is not cunning. He is not sinister about money. He is generous, at scale, on terms, and the terms are fair. He can be negotiated with -- which is worse than being unable to negotiate, because the negotiation is winnable and taking the deal is the loss.</t>
        </is>
      </c>
    </row>
    <row r="5" ht="35.05" customHeight="1" s="18">
      <c r="A5" s="23" t="inlineStr">
        <is>
          <t>He is the Company's virtue turned lethal, not a trait he happens to have</t>
        </is>
      </c>
      <c r="B5" s="23" t="n"/>
      <c r="C5" s="23" t="inlineStr">
        <is>
          <t>Ordinary factors keep behaving decently around him and go on being the people who fed a starving road. The sect is not revealed as rotten; one man takes its best idea further than it should go. If a scene would work equally well with a merchant villain of any confession, it is written wrong.</t>
        </is>
      </c>
    </row>
    <row r="6" ht="23.85" customHeight="1" s="18">
      <c r="A6" s="23" t="inlineStr">
        <is>
          <t>The one thing he cannot buy</t>
        </is>
      </c>
      <c r="B6" s="23" t="n"/>
      <c r="C6" s="23" t="inlineStr">
        <is>
          <t>The Unstained reject him on principle, because he has dealt with everyone. Purity is the only currency he does not hold, which keeps the other sects from becoming texture.</t>
        </is>
      </c>
    </row>
    <row r="7" ht="46.25" customHeight="1" s="18">
      <c r="A7" s="23" t="inlineStr">
        <is>
          <t>Economics of the Idol</t>
        </is>
      </c>
      <c r="B7" s="23" t="n"/>
      <c r="C7" s="23" t="inlineStr">
        <is>
          <t>A movement that assembles itself out of ASSUMED OBLIGATIONS is a Company operation. The golden calf and the bailout are the same object. This is also, now, the visual language shared by the PERVERSE branch of his own ending and by the Hierophant's defeat -- three different roads to the same false godhood, deliberately convergent imagery.</t>
        </is>
      </c>
    </row>
    <row r="8" ht="57.45" customHeight="1" s="18">
      <c r="A8" s="23" t="inlineStr">
        <is>
          <t>The endgame fork (superseded prior draft)</t>
        </is>
      </c>
      <c r="B8" s="23" t="inlineStr">
        <is>
          <t>RESOLVED 8/21/26</t>
        </is>
      </c>
      <c r="C8" s="23" t="inlineStr">
        <is>
          <t>his path ends in SANCTIFICATION, not death -- a hidden telemetry threshold (see ascension_signals) forks it into Sanctified (his ascension is honest, the party fights the deposed patrons resisting absorption into one new god) or Perverse (his ascension is extraction dressed as grace, the party fights him directly, visually converging with the Idol). See endings tab. Whether he ever formally 'takes the unclaimed standard' is now secondary to this -- if it happens, it should read as one more input to the hidden signal, not a separate beat.</t>
        </is>
      </c>
    </row>
    <row r="10" ht="15" customHeight="1" s="18">
      <c r="A10" s="25" t="inlineStr">
        <is>
          <t>The last big authored decision, now made. Everything else about him -- name, history, whether he believes it -- is still open.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5.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sheetData>
    <row r="1">
      <c r="A1" s="21" t="inlineStr">
        <is>
          <t>point</t>
        </is>
      </c>
      <c r="B1" s="21" t="inlineStr">
        <is>
          <t>status</t>
        </is>
      </c>
      <c r="C1" s="21" t="inlineStr">
        <is>
          <t>detail</t>
        </is>
      </c>
    </row>
    <row r="2">
      <c r="A2" s="23" t="inlineStr">
        <is>
          <t>The Hierophant's movement consolidates from sect_march</t>
        </is>
      </c>
      <c r="B2" s="23" t="inlineStr">
        <is>
          <t>CANON, decided 2026-09-23</t>
        </is>
      </c>
      <c r="C2" s="23" t="inlineStr">
        <is>
          <t>endings.end_hierophant's own trigger left this explicitly open ('sect_id: TBD -- whichever sect internally consolidates in Act 2'), the same weight of decision as 'which sect grows the Enlightened One' (see the_claimant tab). Resolved by request, grounded in text already in canon.xlsx rather than invented from nothing.</t>
        </is>
      </c>
    </row>
    <row r="3">
      <c r="A3" s="23" t="inlineStr">
        <is>
          <t>Why sect_march and no other</t>
        </is>
      </c>
      <c r="B3" s="23" t="n"/>
      <c r="C3" s="23" t="inlineStr">
        <is>
          <t>sect_march's own doctrine is RESTORATIONIST: 'everything was lost and has now been given back, whole, to a person nobody had heard of. Not a reform of the old church -- a replacement.' That is end_hierophant's own premise ('the movement forces one answer onto a five-way argument the game has kept deliberately plural') almost paraphrased. sect_road was already locked as the Enlightened One (the_claimant, 2026-08-19) -- assigning the same sect to both endgame forks would flatten the five-way plurality the whole game protects, so it was excluded on that basis alone. sect_court's 'grows the Grand Inquisitor' reads as a separate home-front thread (state/crown enforcement, 'obedience belongs to the throne'), not a claimant-prophet movement -- a different title for a different figure, not a second name for the same one. sect_vashti's doctrine is inward and defensive (re-purifying what collaboration corrupted), not the outward, totalizing 'crusade logic' end_hierophant describes.</t>
        </is>
      </c>
    </row>
    <row r="4">
      <c r="A4" s="23" t="inlineStr">
        <is>
          <t>Methodios was already most of the way there</t>
        </is>
      </c>
      <c r="B4" s="23" t="n"/>
      <c r="C4" s="23" t="inlineStr">
        <is>
          <t>npcs.npc_methodios: 'prophet; herald of the Hierophant... his preaching is the actual mechanism that produces sect consolidation; whichever sect he's embedded in is a candidate answer to the open "which sect" question on the Hierophant ending, not yet locked.' sect_march's own notes independently describe the same shape of mechanism: 'new scripture is still arriving, dictated, in progress' and 'Prophecy NPCs convert green levies' -- a prophet proselytizing new revelation IS what Methodios does. His own row is updated to reflect this.</t>
        </is>
      </c>
    </row>
    <row r="5">
      <c r="A5" s="23" t="inlineStr">
        <is>
          <t>What this resolves vs. what it doesn't</t>
        </is>
      </c>
      <c r="B5" s="23" t="n"/>
      <c r="C5" s="23" t="inlineStr">
        <is>
          <t>Resolves: sect_id on chapters ch_h31/ch_h32/ch_h33_mercy/ch_h34_war1/ch_h34_war2/ch_h34_war3 (was null), endings.end_hierophant's trigger field, npc_methodios's notes. Does NOT resolve: the Hierophant's own name/identity beyond Methodios's herald role (the_claimant's equivalent 'last big decision' entry for the Enlightened One explicitly left his name/history/beliefs open too -- same treatment here), or ascension_signals' telemetry weighting (a separate system, for the OTHER fork -- sect_road's sanctified/perverse split -- untouched by this decision).</t>
        </is>
      </c>
    </row>
  </sheetData>
  <pageMargins left="0.75" right="0.75" top="1" bottom="1" header="0.5" footer="0.5"/>
</worksheet>
</file>

<file path=xl/worksheets/sheet36.xml><?xml version="1.0" encoding="utf-8"?>
<worksheet xmlns="http://schemas.openxmlformats.org/spreadsheetml/2006/main">
  <sheetPr filterMode="0">
    <outlinePr summaryBelow="1" summaryRight="1"/>
    <pageSetUpPr fitToPage="0"/>
  </sheetPr>
  <dimension ref="A1:C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36" customWidth="1" style="17" min="2" max="2"/>
    <col width="64" customWidth="1" style="17" min="3" max="3"/>
  </cols>
  <sheetData>
    <row r="1" ht="15" customHeight="1" s="18">
      <c r="A1" s="22" t="inlineStr">
        <is>
          <t>gap</t>
        </is>
      </c>
      <c r="B1" s="22" t="inlineStr">
        <is>
          <t>status</t>
        </is>
      </c>
      <c r="C1" s="22" t="inlineStr">
        <is>
          <t>note</t>
        </is>
      </c>
    </row>
    <row r="2" ht="15" customHeight="1" s="18">
      <c r="A2" s="23" t="inlineStr">
        <is>
          <t>brawl</t>
        </is>
      </c>
      <c r="B2" s="23" t="inlineStr">
        <is>
          <t>FILLED by Rinsa (Ash Ascetic line)</t>
        </is>
      </c>
      <c r="C2" s="23" t="inlineStr">
        <is>
          <t>the whole brawl column had nobody in it</t>
        </is>
      </c>
    </row>
    <row r="3" ht="15" customHeight="1" s="18">
      <c r="A3" s="23" t="inlineStr">
        <is>
          <t>shadow tier</t>
        </is>
      </c>
      <c r="B3" s="23" t="inlineStr">
        <is>
          <t>FILLED by u_kest</t>
        </is>
      </c>
      <c r="C3" s="23" t="inlineStr">
        <is>
          <t>see units tab; recruited via heist, not battlefield</t>
        </is>
      </c>
    </row>
    <row r="4" ht="35.05" customHeight="1" s="18">
      <c r="A4" s="23" t="inlineStr">
        <is>
          <t>riding</t>
        </is>
      </c>
      <c r="B4" s="23" t="inlineStr">
        <is>
          <t>RETIRED</t>
        </is>
      </c>
      <c r="C4" s="23" t="inlineStr">
        <is>
          <t>mounts are acquirable equipment (capture/inheritance/requisition), not a class trait -- any of the 18 can end up mounted. 'Thin riding' was a supply question the pact-and-mount system already answers, not a roster gap.</t>
        </is>
      </c>
    </row>
    <row r="5" ht="15" customHeight="1" s="18">
      <c r="A5" s="23" t="inlineStr">
        <is>
          <t>roster size</t>
        </is>
      </c>
      <c r="B5" s="23" t="inlineStr">
        <is>
          <t>18 of 18</t>
        </is>
      </c>
      <c r="C5" s="23" t="inlineStr">
        <is>
          <t>support grid complete at 153 chains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7.xml><?xml version="1.0" encoding="utf-8"?>
<worksheet xmlns="http://schemas.openxmlformats.org/spreadsheetml/2006/main">
  <sheetPr filterMode="0">
    <outlinePr summaryBelow="1" summaryRight="1"/>
    <pageSetUpPr fitToPage="0"/>
  </sheetPr>
  <dimension ref="A1:E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34" customWidth="1" style="17" min="2" max="3"/>
    <col width="40" customWidth="1" style="17" min="4" max="4"/>
    <col width="12" customWidth="1" style="17" min="5" max="5"/>
  </cols>
  <sheetData>
    <row r="1" ht="30" customHeight="1" s="18">
      <c r="A1" s="21" t="inlineStr">
        <is>
          <t>flag_id</t>
        </is>
      </c>
      <c r="B1" s="21" t="inlineStr">
        <is>
          <t>question</t>
        </is>
      </c>
      <c r="C1" s="21" t="inlineStr">
        <is>
          <t>allowed_values</t>
        </is>
      </c>
      <c r="D1" s="21" t="inlineStr">
        <is>
          <t>affects</t>
        </is>
      </c>
      <c r="E1" s="21" t="inlineStr">
        <is>
          <t>severity</t>
        </is>
      </c>
    </row>
    <row r="2" ht="35.05" customHeight="1" s="18">
      <c r="A2" s="23" t="inlineStr">
        <is>
          <t>flag_deaths</t>
        </is>
      </c>
      <c r="B2" s="23" t="inlineStr">
        <is>
          <t>Which of the current 18 died, and how?</t>
        </is>
      </c>
      <c r="C2" s="23" t="inlineStr">
        <is>
          <t>per-unit: alive | died_ch&lt;N&gt;_by_&lt;killed_by_type&gt;</t>
        </is>
      </c>
      <c r="D2" s="23" t="inlineStr">
        <is>
          <t>epilogue generation (see epilogue_generation tab), absence-as-content, Act 3 epithet-ledger callbacks</t>
        </is>
      </c>
      <c r="E2" s="23" t="inlineStr">
        <is>
          <t>blocking</t>
        </is>
      </c>
    </row>
    <row r="3">
      <c r="A3" s="23" t="inlineStr">
        <is>
          <t>flag_hierophant_verdict</t>
        </is>
      </c>
      <c r="B3" s="23" t="inlineStr">
        <is>
          <t>At the Kaisareia Trial (ch_h32), did the player recommend mercy or execution?</t>
        </is>
      </c>
      <c r="C3" s="23" t="inlineStr">
        <is>
          <t>mercy | execution</t>
        </is>
      </c>
      <c r="D3" s="23" t="inlineStr">
        <is>
          <t>which chapter fires next: ch_h33_mercy (Subterfuge) vs. ch_h34_war1/2/3 (The War); endings.end_hierophant_mercy vs. end_hierophant_execution</t>
        </is>
      </c>
      <c r="E3" s="23" t="inlineStr">
        <is>
          <t>blocking</t>
        </is>
      </c>
    </row>
    <row r="4" ht="15" customHeight="1" s="18"/>
    <row r="5">
      <c r="A5" s="25" t="inlineStr">
        <is>
          <t>2026-08-20: flag_route, flag_byleth, flag_claude, flag_lysithea deleted -- all four described the cut canon-input prologue (importing FE3H route/pairing/survival choices from a prior save). Each either has no successor (flag_route: the Diadem/Assembly split replaced a single winner with two exhausted co-claimants, nothing to import) or a better native successor (flag_byleth -&gt; the romantic fork at final support tier; flag_claude -&gt; paralogue access gated by which supply routes THIS run actually held; flag_lysithea -&gt; the Vashti paralogue was redesigned to stand alone). flag_deaths survives, repurposed: same id, new scope.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8.xml><?xml version="1.0" encoding="utf-8"?>
<worksheet xmlns="http://schemas.openxmlformats.org/spreadsheetml/2006/main">
  <sheetPr filterMode="0">
    <outlinePr summaryBelow="1" summaryRight="1"/>
    <pageSetUpPr fitToPage="0"/>
  </sheetPr>
  <dimension ref="A1:D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46" customWidth="1" style="17" min="2" max="2"/>
    <col width="12" customWidth="1" style="17" min="3" max="3"/>
    <col width="62" customWidth="1" style="17" min="4" max="4"/>
  </cols>
  <sheetData>
    <row r="1" ht="30" customHeight="1" s="18">
      <c r="A1" s="21" t="inlineStr">
        <is>
          <t>field</t>
        </is>
      </c>
      <c r="B1" s="21" t="inlineStr">
        <is>
          <t>type_or_source</t>
        </is>
      </c>
      <c r="C1" s="21" t="inlineStr">
        <is>
          <t>populated_per_death</t>
        </is>
      </c>
      <c r="D1" s="21" t="inlineStr">
        <is>
          <t>purpose</t>
        </is>
      </c>
    </row>
    <row r="2" ht="15" customHeight="1" s="18">
      <c r="A2" s="23" t="inlineStr">
        <is>
          <t>unit_id</t>
        </is>
      </c>
      <c r="B2" s="23" t="inlineStr">
        <is>
          <t>FK -&gt; units</t>
        </is>
      </c>
      <c r="C2" s="23" t="inlineStr">
        <is>
          <t>yes</t>
        </is>
      </c>
      <c r="D2" s="23" t="inlineStr">
        <is>
          <t>which of the 18</t>
        </is>
      </c>
    </row>
    <row r="3" ht="15" customHeight="1" s="18">
      <c r="A3" s="23" t="inlineStr">
        <is>
          <t>died_in_chapter_id</t>
        </is>
      </c>
      <c r="B3" s="23" t="inlineStr">
        <is>
          <t>FK -&gt; chapters</t>
        </is>
      </c>
      <c r="C3" s="23" t="inlineStr">
        <is>
          <t>yes</t>
        </is>
      </c>
      <c r="D3" s="23" t="inlineStr">
        <is>
          <t>for the location/context clause</t>
        </is>
      </c>
    </row>
    <row r="4" ht="23.85" customHeight="1" s="18">
      <c r="A4" s="23" t="inlineStr">
        <is>
          <t>killed_by_type</t>
        </is>
      </c>
      <c r="B4" s="23" t="inlineStr">
        <is>
          <t>enum: polity | named_creature | defector | boss | unknown</t>
        </is>
      </c>
      <c r="C4" s="23" t="inlineStr">
        <is>
          <t>yes</t>
        </is>
      </c>
      <c r="D4" s="23" t="inlineStr">
        <is>
          <t>faction-level per request; individual credit only for a Named, a defector, or a named chapter boss</t>
        </is>
      </c>
    </row>
    <row r="5" ht="35.05" customHeight="1" s="18">
      <c r="A5" s="23" t="inlineStr">
        <is>
          <t>killed_by_id</t>
        </is>
      </c>
      <c r="B5" s="23" t="inlineStr">
        <is>
          <t>FK, table depends on killed_by_type</t>
        </is>
      </c>
      <c r="C5" s="23" t="inlineStr">
        <is>
          <t>yes</t>
        </is>
      </c>
      <c r="D5" s="23" t="inlineStr">
        <is>
          <t>polities.polity_id / named.named_id / defections.defection_id / (boss ids TBD, chapter bosses are not yet formalised as their own entity) / null for unknown</t>
        </is>
      </c>
    </row>
    <row r="6" ht="15" customHeight="1" s="18">
      <c r="A6" s="23" t="inlineStr">
        <is>
          <t>epithets_held</t>
        </is>
      </c>
      <c r="B6" s="23" t="inlineStr">
        <is>
          <t>pipe-delimited FK list -&gt; epithets</t>
        </is>
      </c>
      <c r="C6" s="23" t="inlineStr">
        <is>
          <t>yes</t>
        </is>
      </c>
      <c r="D6" s="23" t="inlineStr">
        <is>
          <t>epithets earned before death; drives the title clause</t>
        </is>
      </c>
    </row>
    <row r="7" ht="46.25" customHeight="1" s="18">
      <c r="A7" s="23" t="inlineStr">
        <is>
          <t>weapon_carried</t>
        </is>
      </c>
      <c r="B7" s="23" t="inlineStr">
        <is>
          <t>free text, forge provenance-grammar name</t>
        </is>
      </c>
      <c r="C7" s="23" t="inlineStr">
        <is>
          <t>yes</t>
        </is>
      </c>
      <c r="D7" s="23" t="inlineStr">
        <is>
          <t>DEPENDENCY NOT YET BUILT: the forge naming grammar (blood-on-the-blade marks, reforging clears epithets) was designed across several chat sessions but never formalised into its own tab. This field assumes that tab exists; it does not yet</t>
        </is>
      </c>
    </row>
    <row r="8" ht="23.85" customHeight="1" s="18">
      <c r="A8" s="23" t="inlineStr">
        <is>
          <t>weapon_fate</t>
        </is>
      </c>
      <c r="B8" s="23" t="inlineStr">
        <is>
          <t>enum: lost_to_enemy | retrieved | thrown_and_lost | with_the_body</t>
        </is>
      </c>
      <c r="C8" s="23" t="inlineStr">
        <is>
          <t>yes</t>
        </is>
      </c>
      <c r="D8" s="23" t="inlineStr">
        <is>
          <t>same three-way logic as Named-creature material and riderless mounts -- unclaimed battlefield objects are lost at map end</t>
        </is>
      </c>
    </row>
    <row r="9" ht="15" customHeight="1" s="18">
      <c r="A9" s="23" t="inlineStr">
        <is>
          <t>support_status</t>
        </is>
      </c>
      <c r="B9" s="23" t="inlineStr">
        <is>
          <t>paired_with unit_id + tier, OR unpaired</t>
        </is>
      </c>
      <c r="C9" s="23" t="inlineStr">
        <is>
          <t>yes</t>
        </is>
      </c>
      <c r="D9" s="23" t="inlineStr">
        <is>
          <t>reads from the (not yet built) supports tab; drives the mourning clause</t>
        </is>
      </c>
    </row>
    <row r="11" ht="399.75" customHeight="1" s="18">
      <c r="A11" s="31" t="inlineStr">
        <is>
          <t>NOT INSTANCE DATA. Deaths are per-playthrough runtime state, not fixed canon -- this is a SCHEMA and GRAMMAR, in the Wildermyth register: procedural text assembled from structured combat history at the moment it's needed, not hand-authored per character. 18 units with a near-complete support grid multiplies out fast, which is exactly why this has to be a generator and not a script.
ASSEMBLY GRAMMAR (four clauses, each optional except the first):
  [NAME], [TITLE CLAUSE], fell at [CHAPTER TITLE] to [KILLER CLAUSE]. [WEAPON CLAUSE]. [SUPPORT CLAUSE].
TITLE CLAUSE -- from epithets_held. Take the strongest-gated epithet (gates_paragon=yes beats gates_paragon=no) and use its forge_vocab_token: 'Slayer of the Karkadann', 'the Untouched'. No epithets held -&gt; drop the clause; the name stands alone, which is its own kind of epilogue for someone plain.
KILLER CLAUSE -- from killed_by_type/killed_by_id. polity -&gt; 'a Diadem lance' / 'an Assembly arrow' (faction, not a person). named_creature -&gt; the Named's signature verb, e.g. 'the Karkadann's charge'. defector -&gt; named directly, since a defector killing a former ally is always worth naming. boss -&gt; named directly once chapter bosses exist as an entity. unknown -&gt; 'in the chaos at [chapter], to no blade anyone could name' -- reserved for routs and unwitnessed deaths, and it should read as bleaker than a named killer, not vaguer.
WEAPON CLAUSE -- from weapon_carried + weapon_fate. lost_to_enemy -&gt; '[weapon] passed to no one' or is later found back in enemy hands (ties to the capture-supply loop). with_the_body -&gt; 'still holding [weapon]'. Absent entirely if the unit died unarmed or the field is empty.
SUPPORT CLAUSE -- from support_status. Paired -&gt; name the partner and their tier, tone keyed to whether the partnership was romantic or platonic. Unpaired -&gt; a colder line about no one at the fire being close enough to grieve properly, which should read as its own quiet indictment of a run that never built that relationship.
WORKED EXAMPLES (hypothetical illustrations of the grammar -- NOT canon events; no unit's actual fate has been decided):
  Jost, Slayer of the Karkadann, fell at the muster field to an Assembly lance. His axe passed to no one. Rinsa was not there.
  Anselm fell at the cinder track, in the chaos, to no blade anyone could name. He carried nothing worth a clause. No one at the column's fire had gotten close enough to grieve properly.
TWO DEPENDENCIES THIS SCHEMA ASSUMES AND DOES NOT YET HAVE: a formal supports tab (grid, 153 chains, completion tracking -- offered earlier, never built), and a formal forge/weapon provenance tab (the naming grammar exists in design chat, never tabulated). Both should exist before this schema is implemented against; flagging rather than building them here, since neither was asked for in this pass.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9.xml><?xml version="1.0" encoding="utf-8"?>
<worksheet xmlns="http://schemas.openxmlformats.org/spreadsheetml/2006/main">
  <sheetPr>
    <outlinePr summaryBelow="1" summaryRight="1"/>
    <pageSetUpPr/>
  </sheetPr>
  <dimension ref="A1:L30"/>
  <sheetViews>
    <sheetView workbookViewId="0">
      <selection activeCell="A1" sqref="A1"/>
    </sheetView>
  </sheetViews>
  <sheetFormatPr baseColWidth="8" defaultRowHeight="15"/>
  <cols>
    <col width="16" customWidth="1" style="18" min="1" max="1"/>
    <col width="16" customWidth="1" style="18" min="2" max="2"/>
    <col width="8" customWidth="1" style="18" min="3" max="3"/>
    <col width="8" customWidth="1" style="18" min="4" max="4"/>
    <col width="6" customWidth="1" style="18" min="5" max="5"/>
    <col width="5" customWidth="1" style="18" min="6" max="6"/>
    <col width="5" customWidth="1" style="18" min="7" max="7"/>
    <col width="7" customWidth="1" style="18" min="8" max="8"/>
    <col width="6" customWidth="1" style="18" min="9" max="9"/>
    <col width="10" customWidth="1" style="18" min="10" max="10"/>
    <col width="10" customWidth="1" style="18" min="11" max="11"/>
    <col width="40" customWidth="1" style="18" min="12" max="12"/>
  </cols>
  <sheetData>
    <row r="1">
      <c r="A1" s="26" t="inlineStr">
        <is>
          <t>weapon_id</t>
        </is>
      </c>
      <c r="B1" s="26" t="inlineStr">
        <is>
          <t>name</t>
        </is>
      </c>
      <c r="C1" s="26" t="inlineStr">
        <is>
          <t>art</t>
        </is>
      </c>
      <c r="D1" s="26" t="inlineStr">
        <is>
          <t>tier</t>
        </is>
      </c>
      <c r="E1" s="26" t="inlineStr">
        <is>
          <t>might</t>
        </is>
      </c>
      <c r="F1" s="26" t="inlineStr">
        <is>
          <t>hit</t>
        </is>
      </c>
      <c r="G1" s="26" t="inlineStr">
        <is>
          <t>crit</t>
        </is>
      </c>
      <c r="H1" s="26" t="inlineStr">
        <is>
          <t>weight</t>
        </is>
      </c>
      <c r="I1" s="26" t="inlineStr">
        <is>
          <t>uses</t>
        </is>
      </c>
      <c r="J1" s="26" t="inlineStr">
        <is>
          <t>range_min</t>
        </is>
      </c>
      <c r="K1" s="26" t="inlineStr">
        <is>
          <t>range_max</t>
        </is>
      </c>
      <c r="L1" s="26" t="inlineStr">
        <is>
          <t>notes</t>
        </is>
      </c>
    </row>
    <row r="2">
      <c r="A2" s="17" t="inlineStr">
        <is>
          <t>wpn_sword_basic</t>
        </is>
      </c>
      <c r="B2" s="17" t="inlineStr">
        <is>
          <t>Iron Sword</t>
        </is>
      </c>
      <c r="C2" s="17" t="inlineStr">
        <is>
          <t>sword</t>
        </is>
      </c>
      <c r="D2" s="17" t="inlineStr">
        <is>
          <t>basic</t>
        </is>
      </c>
      <c r="E2" s="17" t="n">
        <v>5</v>
      </c>
      <c r="F2" s="17" t="n">
        <v>90</v>
      </c>
      <c r="G2" s="17" t="n">
        <v>0</v>
      </c>
      <c r="H2" s="17" t="n">
        <v>5</v>
      </c>
      <c r="I2" s="17" t="n">
        <v>45</v>
      </c>
      <c r="J2" s="17" t="n">
        <v>1</v>
      </c>
      <c r="K2" s="17" t="n">
        <v>1</v>
      </c>
    </row>
    <row r="3">
      <c r="A3" s="17" t="inlineStr">
        <is>
          <t>wpn_sword_mid</t>
        </is>
      </c>
      <c r="B3" s="17" t="inlineStr">
        <is>
          <t>Steel Sword</t>
        </is>
      </c>
      <c r="C3" s="17" t="inlineStr">
        <is>
          <t>sword</t>
        </is>
      </c>
      <c r="D3" s="17" t="inlineStr">
        <is>
          <t>mid</t>
        </is>
      </c>
      <c r="E3" s="17" t="n">
        <v>8</v>
      </c>
      <c r="F3" s="17" t="n">
        <v>80</v>
      </c>
      <c r="G3" s="17" t="n">
        <v>0</v>
      </c>
      <c r="H3" s="17" t="n">
        <v>8</v>
      </c>
      <c r="I3" s="17" t="n">
        <v>30</v>
      </c>
      <c r="J3" s="17" t="n">
        <v>1</v>
      </c>
      <c r="K3" s="17" t="n">
        <v>1</v>
      </c>
    </row>
    <row r="4">
      <c r="A4" s="17" t="inlineStr">
        <is>
          <t>wpn_sword_high</t>
        </is>
      </c>
      <c r="B4" s="17" t="inlineStr">
        <is>
          <t>Silver Sword</t>
        </is>
      </c>
      <c r="C4" s="17" t="inlineStr">
        <is>
          <t>sword</t>
        </is>
      </c>
      <c r="D4" s="17" t="inlineStr">
        <is>
          <t>high</t>
        </is>
      </c>
      <c r="E4" s="17" t="n">
        <v>13</v>
      </c>
      <c r="F4" s="17" t="n">
        <v>75</v>
      </c>
      <c r="G4" s="17" t="n">
        <v>0</v>
      </c>
      <c r="H4" s="17" t="n">
        <v>10</v>
      </c>
      <c r="I4" s="17" t="n">
        <v>20</v>
      </c>
      <c r="J4" s="17" t="n">
        <v>1</v>
      </c>
      <c r="K4" s="17" t="n">
        <v>1</v>
      </c>
    </row>
    <row r="5">
      <c r="A5" s="17" t="inlineStr">
        <is>
          <t>wpn_lance_basic</t>
        </is>
      </c>
      <c r="B5" s="17" t="inlineStr">
        <is>
          <t>Iron Lance</t>
        </is>
      </c>
      <c r="C5" s="17" t="inlineStr">
        <is>
          <t>lance</t>
        </is>
      </c>
      <c r="D5" s="17" t="inlineStr">
        <is>
          <t>basic</t>
        </is>
      </c>
      <c r="E5" s="17" t="n">
        <v>5</v>
      </c>
      <c r="F5" s="17" t="n">
        <v>90</v>
      </c>
      <c r="G5" s="17" t="n">
        <v>0</v>
      </c>
      <c r="H5" s="17" t="n">
        <v>5</v>
      </c>
      <c r="I5" s="17" t="n">
        <v>45</v>
      </c>
      <c r="J5" s="17" t="n">
        <v>1</v>
      </c>
      <c r="K5" s="17" t="n">
        <v>1</v>
      </c>
    </row>
    <row r="6">
      <c r="A6" s="17" t="inlineStr">
        <is>
          <t>wpn_lance_mid</t>
        </is>
      </c>
      <c r="B6" s="17" t="inlineStr">
        <is>
          <t>Steel Lance</t>
        </is>
      </c>
      <c r="C6" s="17" t="inlineStr">
        <is>
          <t>lance</t>
        </is>
      </c>
      <c r="D6" s="17" t="inlineStr">
        <is>
          <t>mid</t>
        </is>
      </c>
      <c r="E6" s="17" t="n">
        <v>8</v>
      </c>
      <c r="F6" s="17" t="n">
        <v>80</v>
      </c>
      <c r="G6" s="17" t="n">
        <v>0</v>
      </c>
      <c r="H6" s="17" t="n">
        <v>8</v>
      </c>
      <c r="I6" s="17" t="n">
        <v>30</v>
      </c>
      <c r="J6" s="17" t="n">
        <v>1</v>
      </c>
      <c r="K6" s="17" t="n">
        <v>1</v>
      </c>
    </row>
    <row r="7">
      <c r="A7" s="17" t="inlineStr">
        <is>
          <t>wpn_lance_high</t>
        </is>
      </c>
      <c r="B7" s="17" t="inlineStr">
        <is>
          <t>Silver Lance</t>
        </is>
      </c>
      <c r="C7" s="17" t="inlineStr">
        <is>
          <t>lance</t>
        </is>
      </c>
      <c r="D7" s="17" t="inlineStr">
        <is>
          <t>high</t>
        </is>
      </c>
      <c r="E7" s="17" t="n">
        <v>13</v>
      </c>
      <c r="F7" s="17" t="n">
        <v>75</v>
      </c>
      <c r="G7" s="17" t="n">
        <v>0</v>
      </c>
      <c r="H7" s="17" t="n">
        <v>10</v>
      </c>
      <c r="I7" s="17" t="n">
        <v>20</v>
      </c>
      <c r="J7" s="17" t="n">
        <v>1</v>
      </c>
      <c r="K7" s="17" t="n">
        <v>1</v>
      </c>
    </row>
    <row r="8">
      <c r="A8" s="17" t="inlineStr">
        <is>
          <t>wpn_axe_basic</t>
        </is>
      </c>
      <c r="B8" s="17" t="inlineStr">
        <is>
          <t>Iron Axe</t>
        </is>
      </c>
      <c r="C8" s="17" t="inlineStr">
        <is>
          <t>axe</t>
        </is>
      </c>
      <c r="D8" s="17" t="inlineStr">
        <is>
          <t>basic</t>
        </is>
      </c>
      <c r="E8" s="17" t="n">
        <v>5</v>
      </c>
      <c r="F8" s="17" t="n">
        <v>90</v>
      </c>
      <c r="G8" s="17" t="n">
        <v>0</v>
      </c>
      <c r="H8" s="17" t="n">
        <v>5</v>
      </c>
      <c r="I8" s="17" t="n">
        <v>45</v>
      </c>
      <c r="J8" s="17" t="n">
        <v>1</v>
      </c>
      <c r="K8" s="17" t="n">
        <v>1</v>
      </c>
    </row>
    <row r="9">
      <c r="A9" s="17" t="inlineStr">
        <is>
          <t>wpn_axe_mid</t>
        </is>
      </c>
      <c r="B9" s="17" t="inlineStr">
        <is>
          <t>Steel Axe</t>
        </is>
      </c>
      <c r="C9" s="17" t="inlineStr">
        <is>
          <t>axe</t>
        </is>
      </c>
      <c r="D9" s="17" t="inlineStr">
        <is>
          <t>mid</t>
        </is>
      </c>
      <c r="E9" s="17" t="n">
        <v>8</v>
      </c>
      <c r="F9" s="17" t="n">
        <v>80</v>
      </c>
      <c r="G9" s="17" t="n">
        <v>0</v>
      </c>
      <c r="H9" s="17" t="n">
        <v>8</v>
      </c>
      <c r="I9" s="17" t="n">
        <v>30</v>
      </c>
      <c r="J9" s="17" t="n">
        <v>1</v>
      </c>
      <c r="K9" s="17" t="n">
        <v>1</v>
      </c>
    </row>
    <row r="10">
      <c r="A10" s="17" t="inlineStr">
        <is>
          <t>wpn_axe_high</t>
        </is>
      </c>
      <c r="B10" s="17" t="inlineStr">
        <is>
          <t>Silver Axe</t>
        </is>
      </c>
      <c r="C10" s="17" t="inlineStr">
        <is>
          <t>axe</t>
        </is>
      </c>
      <c r="D10" s="17" t="inlineStr">
        <is>
          <t>high</t>
        </is>
      </c>
      <c r="E10" s="17" t="n">
        <v>13</v>
      </c>
      <c r="F10" s="17" t="n">
        <v>75</v>
      </c>
      <c r="G10" s="17" t="n">
        <v>0</v>
      </c>
      <c r="H10" s="17" t="n">
        <v>10</v>
      </c>
      <c r="I10" s="17" t="n">
        <v>20</v>
      </c>
      <c r="J10" s="17" t="n">
        <v>1</v>
      </c>
      <c r="K10" s="17" t="n">
        <v>1</v>
      </c>
    </row>
    <row r="11">
      <c r="A11" s="17" t="inlineStr">
        <is>
          <t>wpn_bow_basic</t>
        </is>
      </c>
      <c r="B11" s="17" t="inlineStr">
        <is>
          <t>Iron Bow</t>
        </is>
      </c>
      <c r="C11" s="17" t="inlineStr">
        <is>
          <t>bow</t>
        </is>
      </c>
      <c r="D11" s="17" t="inlineStr">
        <is>
          <t>basic</t>
        </is>
      </c>
      <c r="E11" s="17" t="n">
        <v>5</v>
      </c>
      <c r="F11" s="17" t="n">
        <v>90</v>
      </c>
      <c r="G11" s="17" t="n">
        <v>0</v>
      </c>
      <c r="H11" s="17" t="n">
        <v>5</v>
      </c>
      <c r="I11" s="17" t="n">
        <v>45</v>
      </c>
      <c r="J11" s="17" t="n">
        <v>2</v>
      </c>
      <c r="K11" s="17" t="n">
        <v>2</v>
      </c>
    </row>
    <row r="12">
      <c r="A12" s="17" t="inlineStr">
        <is>
          <t>wpn_bow_mid</t>
        </is>
      </c>
      <c r="B12" s="17" t="inlineStr">
        <is>
          <t>Steel Bow</t>
        </is>
      </c>
      <c r="C12" s="17" t="inlineStr">
        <is>
          <t>bow</t>
        </is>
      </c>
      <c r="D12" s="17" t="inlineStr">
        <is>
          <t>mid</t>
        </is>
      </c>
      <c r="E12" s="17" t="n">
        <v>8</v>
      </c>
      <c r="F12" s="17" t="n">
        <v>80</v>
      </c>
      <c r="G12" s="17" t="n">
        <v>0</v>
      </c>
      <c r="H12" s="17" t="n">
        <v>8</v>
      </c>
      <c r="I12" s="17" t="n">
        <v>30</v>
      </c>
      <c r="J12" s="17" t="n">
        <v>2</v>
      </c>
      <c r="K12" s="17" t="n">
        <v>2</v>
      </c>
    </row>
    <row r="13">
      <c r="A13" s="17" t="inlineStr">
        <is>
          <t>wpn_bow_high</t>
        </is>
      </c>
      <c r="B13" s="17" t="inlineStr">
        <is>
          <t>Silver Bow</t>
        </is>
      </c>
      <c r="C13" s="17" t="inlineStr">
        <is>
          <t>bow</t>
        </is>
      </c>
      <c r="D13" s="17" t="inlineStr">
        <is>
          <t>high</t>
        </is>
      </c>
      <c r="E13" s="17" t="n">
        <v>13</v>
      </c>
      <c r="F13" s="17" t="n">
        <v>75</v>
      </c>
      <c r="G13" s="17" t="n">
        <v>0</v>
      </c>
      <c r="H13" s="17" t="n">
        <v>10</v>
      </c>
      <c r="I13" s="17" t="n">
        <v>20</v>
      </c>
      <c r="J13" s="17" t="n">
        <v>2</v>
      </c>
      <c r="K13" s="17" t="n">
        <v>2</v>
      </c>
    </row>
    <row r="14">
      <c r="A14" s="17" t="inlineStr">
        <is>
          <t>wpn_brawl_basic</t>
        </is>
      </c>
      <c r="B14" s="17" t="inlineStr">
        <is>
          <t>Iron Gauntlet</t>
        </is>
      </c>
      <c r="C14" s="17" t="inlineStr">
        <is>
          <t>brawl</t>
        </is>
      </c>
      <c r="D14" s="17" t="inlineStr">
        <is>
          <t>basic</t>
        </is>
      </c>
      <c r="E14" s="17" t="n">
        <v>5</v>
      </c>
      <c r="F14" s="17" t="n">
        <v>90</v>
      </c>
      <c r="G14" s="17" t="n">
        <v>0</v>
      </c>
      <c r="H14" s="17" t="n">
        <v>5</v>
      </c>
      <c r="I14" s="17" t="n">
        <v>45</v>
      </c>
      <c r="J14" s="17" t="n">
        <v>1</v>
      </c>
      <c r="K14" s="17" t="n">
        <v>1</v>
      </c>
    </row>
    <row r="15">
      <c r="A15" s="17" t="inlineStr">
        <is>
          <t>wpn_brawl_mid</t>
        </is>
      </c>
      <c r="B15" s="17" t="inlineStr">
        <is>
          <t>Steel Gauntlet</t>
        </is>
      </c>
      <c r="C15" s="17" t="inlineStr">
        <is>
          <t>brawl</t>
        </is>
      </c>
      <c r="D15" s="17" t="inlineStr">
        <is>
          <t>mid</t>
        </is>
      </c>
      <c r="E15" s="17" t="n">
        <v>8</v>
      </c>
      <c r="F15" s="17" t="n">
        <v>80</v>
      </c>
      <c r="G15" s="17" t="n">
        <v>0</v>
      </c>
      <c r="H15" s="17" t="n">
        <v>8</v>
      </c>
      <c r="I15" s="17" t="n">
        <v>30</v>
      </c>
      <c r="J15" s="17" t="n">
        <v>1</v>
      </c>
      <c r="K15" s="17" t="n">
        <v>1</v>
      </c>
    </row>
    <row r="16">
      <c r="A16" s="17" t="inlineStr">
        <is>
          <t>wpn_brawl_high</t>
        </is>
      </c>
      <c r="B16" s="17" t="inlineStr">
        <is>
          <t>Silver Gauntlet</t>
        </is>
      </c>
      <c r="C16" s="17" t="inlineStr">
        <is>
          <t>brawl</t>
        </is>
      </c>
      <c r="D16" s="17" t="inlineStr">
        <is>
          <t>high</t>
        </is>
      </c>
      <c r="E16" s="17" t="n">
        <v>13</v>
      </c>
      <c r="F16" s="17" t="n">
        <v>75</v>
      </c>
      <c r="G16" s="17" t="n">
        <v>0</v>
      </c>
      <c r="H16" s="17" t="n">
        <v>10</v>
      </c>
      <c r="I16" s="17" t="n">
        <v>20</v>
      </c>
      <c r="J16" s="17" t="n">
        <v>1</v>
      </c>
      <c r="K16" s="17" t="n">
        <v>1</v>
      </c>
    </row>
    <row r="17">
      <c r="A17" s="17" t="inlineStr">
        <is>
          <t>wpn_reason_basic</t>
        </is>
      </c>
      <c r="B17" s="17" t="inlineStr">
        <is>
          <t>Iron Tome</t>
        </is>
      </c>
      <c r="C17" s="17" t="inlineStr">
        <is>
          <t>reason</t>
        </is>
      </c>
      <c r="D17" s="17" t="inlineStr">
        <is>
          <t>basic</t>
        </is>
      </c>
      <c r="E17" s="17" t="n">
        <v>5</v>
      </c>
      <c r="F17" s="17" t="n">
        <v>90</v>
      </c>
      <c r="G17" s="17" t="n">
        <v>0</v>
      </c>
      <c r="H17" s="17" t="n">
        <v>5</v>
      </c>
      <c r="I17" s="17" t="n">
        <v>45</v>
      </c>
      <c r="J17" s="17" t="n">
        <v>1</v>
      </c>
      <c r="K17" s="17" t="n">
        <v>2</v>
      </c>
    </row>
    <row r="18">
      <c r="A18" s="17" t="inlineStr">
        <is>
          <t>wpn_reason_mid</t>
        </is>
      </c>
      <c r="B18" s="17" t="inlineStr">
        <is>
          <t>Steel Tome</t>
        </is>
      </c>
      <c r="C18" s="17" t="inlineStr">
        <is>
          <t>reason</t>
        </is>
      </c>
      <c r="D18" s="17" t="inlineStr">
        <is>
          <t>mid</t>
        </is>
      </c>
      <c r="E18" s="17" t="n">
        <v>8</v>
      </c>
      <c r="F18" s="17" t="n">
        <v>80</v>
      </c>
      <c r="G18" s="17" t="n">
        <v>0</v>
      </c>
      <c r="H18" s="17" t="n">
        <v>8</v>
      </c>
      <c r="I18" s="17" t="n">
        <v>30</v>
      </c>
      <c r="J18" s="17" t="n">
        <v>1</v>
      </c>
      <c r="K18" s="17" t="n">
        <v>2</v>
      </c>
    </row>
    <row r="19">
      <c r="A19" s="17" t="inlineStr">
        <is>
          <t>wpn_reason_high</t>
        </is>
      </c>
      <c r="B19" s="17" t="inlineStr">
        <is>
          <t>Silver Tome</t>
        </is>
      </c>
      <c r="C19" s="17" t="inlineStr">
        <is>
          <t>reason</t>
        </is>
      </c>
      <c r="D19" s="17" t="inlineStr">
        <is>
          <t>high</t>
        </is>
      </c>
      <c r="E19" s="17" t="n">
        <v>13</v>
      </c>
      <c r="F19" s="17" t="n">
        <v>75</v>
      </c>
      <c r="G19" s="17" t="n">
        <v>0</v>
      </c>
      <c r="H19" s="17" t="n">
        <v>10</v>
      </c>
      <c r="I19" s="17" t="n">
        <v>20</v>
      </c>
      <c r="J19" s="17" t="n">
        <v>1</v>
      </c>
      <c r="K19" s="17" t="n">
        <v>2</v>
      </c>
    </row>
    <row r="20">
      <c r="A20" s="17" t="inlineStr">
        <is>
          <t>wpn_faith_basic</t>
        </is>
      </c>
      <c r="B20" s="17" t="inlineStr">
        <is>
          <t>Iron Rite</t>
        </is>
      </c>
      <c r="C20" s="17" t="inlineStr">
        <is>
          <t>faith</t>
        </is>
      </c>
      <c r="D20" s="17" t="inlineStr">
        <is>
          <t>basic</t>
        </is>
      </c>
      <c r="E20" s="17" t="n">
        <v>5</v>
      </c>
      <c r="F20" s="17" t="n">
        <v>90</v>
      </c>
      <c r="G20" s="17" t="n">
        <v>0</v>
      </c>
      <c r="H20" s="17" t="n">
        <v>5</v>
      </c>
      <c r="I20" s="17" t="n">
        <v>45</v>
      </c>
      <c r="J20" s="17" t="n">
        <v>1</v>
      </c>
      <c r="K20" s="17" t="n">
        <v>2</v>
      </c>
    </row>
    <row r="21">
      <c r="A21" s="17" t="inlineStr">
        <is>
          <t>wpn_faith_mid</t>
        </is>
      </c>
      <c r="B21" s="17" t="inlineStr">
        <is>
          <t>Steel Rite</t>
        </is>
      </c>
      <c r="C21" s="17" t="inlineStr">
        <is>
          <t>faith</t>
        </is>
      </c>
      <c r="D21" s="17" t="inlineStr">
        <is>
          <t>mid</t>
        </is>
      </c>
      <c r="E21" s="17" t="n">
        <v>8</v>
      </c>
      <c r="F21" s="17" t="n">
        <v>80</v>
      </c>
      <c r="G21" s="17" t="n">
        <v>0</v>
      </c>
      <c r="H21" s="17" t="n">
        <v>8</v>
      </c>
      <c r="I21" s="17" t="n">
        <v>30</v>
      </c>
      <c r="J21" s="17" t="n">
        <v>1</v>
      </c>
      <c r="K21" s="17" t="n">
        <v>2</v>
      </c>
    </row>
    <row r="22">
      <c r="A22" s="17" t="inlineStr">
        <is>
          <t>wpn_faith_high</t>
        </is>
      </c>
      <c r="B22" s="17" t="inlineStr">
        <is>
          <t>Silver Rite</t>
        </is>
      </c>
      <c r="C22" s="17" t="inlineStr">
        <is>
          <t>faith</t>
        </is>
      </c>
      <c r="D22" s="17" t="inlineStr">
        <is>
          <t>high</t>
        </is>
      </c>
      <c r="E22" s="17" t="n">
        <v>13</v>
      </c>
      <c r="F22" s="17" t="n">
        <v>75</v>
      </c>
      <c r="G22" s="17" t="n">
        <v>0</v>
      </c>
      <c r="H22" s="17" t="n">
        <v>10</v>
      </c>
      <c r="I22" s="17" t="n">
        <v>20</v>
      </c>
      <c r="J22" s="17" t="n">
        <v>1</v>
      </c>
      <c r="K22" s="17" t="n">
        <v>2</v>
      </c>
    </row>
    <row r="23">
      <c r="A23" s="17" t="inlineStr">
        <is>
          <t>wpn_sword_worn</t>
        </is>
      </c>
      <c r="B23" s="17" t="inlineStr">
        <is>
          <t>Worn Sword</t>
        </is>
      </c>
      <c r="C23" s="17" t="inlineStr">
        <is>
          <t>sword</t>
        </is>
      </c>
      <c r="D23" s="17" t="inlineStr">
        <is>
          <t>worn</t>
        </is>
      </c>
      <c r="E23" s="17" t="n">
        <v>1</v>
      </c>
      <c r="F23" s="17" t="n">
        <v>55</v>
      </c>
      <c r="G23" s="17" t="n">
        <v>0</v>
      </c>
      <c r="H23" s="17" t="n">
        <v>6</v>
      </c>
      <c r="I23" s="17" t="n">
        <v>15</v>
      </c>
      <c r="J23" s="17" t="n">
        <v>1</v>
      </c>
      <c r="K23" s="17" t="n">
        <v>1</v>
      </c>
      <c r="L23" s="17" t="inlineStr">
        <is>
          <t>Below Iron -- scavenged/broken-in gear, not a tuned tier like basic/mid/high.</t>
        </is>
      </c>
    </row>
    <row r="24">
      <c r="A24" s="17" t="inlineStr">
        <is>
          <t>wpn_lance_worn</t>
        </is>
      </c>
      <c r="B24" s="17" t="inlineStr">
        <is>
          <t>Worn Lance</t>
        </is>
      </c>
      <c r="C24" s="17" t="inlineStr">
        <is>
          <t>lance</t>
        </is>
      </c>
      <c r="D24" s="17" t="inlineStr">
        <is>
          <t>worn</t>
        </is>
      </c>
      <c r="E24" s="17" t="n">
        <v>1</v>
      </c>
      <c r="F24" s="17" t="n">
        <v>55</v>
      </c>
      <c r="G24" s="17" t="n">
        <v>0</v>
      </c>
      <c r="H24" s="17" t="n">
        <v>6</v>
      </c>
      <c r="I24" s="17" t="n">
        <v>15</v>
      </c>
      <c r="J24" s="17" t="n">
        <v>1</v>
      </c>
      <c r="K24" s="17" t="n">
        <v>1</v>
      </c>
      <c r="L24" s="17" t="inlineStr">
        <is>
          <t>Below Iron -- scavenged/broken-in gear, not a tuned tier like basic/mid/high.</t>
        </is>
      </c>
    </row>
    <row r="25">
      <c r="A25" s="17" t="inlineStr">
        <is>
          <t>wpn_axe_worn</t>
        </is>
      </c>
      <c r="B25" s="17" t="inlineStr">
        <is>
          <t>Worn Axe</t>
        </is>
      </c>
      <c r="C25" s="17" t="inlineStr">
        <is>
          <t>axe</t>
        </is>
      </c>
      <c r="D25" s="17" t="inlineStr">
        <is>
          <t>worn</t>
        </is>
      </c>
      <c r="E25" s="17" t="n">
        <v>1</v>
      </c>
      <c r="F25" s="17" t="n">
        <v>55</v>
      </c>
      <c r="G25" s="17" t="n">
        <v>0</v>
      </c>
      <c r="H25" s="17" t="n">
        <v>6</v>
      </c>
      <c r="I25" s="17" t="n">
        <v>15</v>
      </c>
      <c r="J25" s="17" t="n">
        <v>1</v>
      </c>
      <c r="K25" s="17" t="n">
        <v>1</v>
      </c>
      <c r="L25" s="17" t="inlineStr">
        <is>
          <t>Below Iron -- scavenged/broken-in gear, not a tuned tier like basic/mid/high.</t>
        </is>
      </c>
    </row>
    <row r="26">
      <c r="A26" s="17" t="inlineStr">
        <is>
          <t>wpn_bow_worn</t>
        </is>
      </c>
      <c r="B26" s="17" t="inlineStr">
        <is>
          <t>Worn Bow</t>
        </is>
      </c>
      <c r="C26" s="17" t="inlineStr">
        <is>
          <t>bow</t>
        </is>
      </c>
      <c r="D26" s="17" t="inlineStr">
        <is>
          <t>worn</t>
        </is>
      </c>
      <c r="E26" s="17" t="n">
        <v>1</v>
      </c>
      <c r="F26" s="17" t="n">
        <v>55</v>
      </c>
      <c r="G26" s="17" t="n">
        <v>0</v>
      </c>
      <c r="H26" s="17" t="n">
        <v>6</v>
      </c>
      <c r="I26" s="17" t="n">
        <v>15</v>
      </c>
      <c r="J26" s="17" t="n">
        <v>2</v>
      </c>
      <c r="K26" s="17" t="n">
        <v>2</v>
      </c>
      <c r="L26" s="17" t="inlineStr">
        <is>
          <t>Below Iron -- scavenged/broken-in gear, not a tuned tier like basic/mid/high.</t>
        </is>
      </c>
    </row>
    <row r="27">
      <c r="A27" s="17" t="inlineStr">
        <is>
          <t>wpn_brawl_worn</t>
        </is>
      </c>
      <c r="B27" s="17" t="inlineStr">
        <is>
          <t>Worn Gauntlet</t>
        </is>
      </c>
      <c r="C27" s="17" t="inlineStr">
        <is>
          <t>brawl</t>
        </is>
      </c>
      <c r="D27" s="17" t="inlineStr">
        <is>
          <t>worn</t>
        </is>
      </c>
      <c r="E27" s="17" t="n">
        <v>1</v>
      </c>
      <c r="F27" s="17" t="n">
        <v>55</v>
      </c>
      <c r="G27" s="17" t="n">
        <v>0</v>
      </c>
      <c r="H27" s="17" t="n">
        <v>6</v>
      </c>
      <c r="I27" s="17" t="n">
        <v>15</v>
      </c>
      <c r="J27" s="17" t="n">
        <v>1</v>
      </c>
      <c r="K27" s="17" t="n">
        <v>1</v>
      </c>
      <c r="L27" s="17" t="inlineStr">
        <is>
          <t>Below Iron -- scavenged/broken-in gear, not a tuned tier like basic/mid/high.</t>
        </is>
      </c>
    </row>
    <row r="28">
      <c r="A28" s="17" t="inlineStr">
        <is>
          <t>wpn_reason_worn</t>
        </is>
      </c>
      <c r="B28" s="17" t="inlineStr">
        <is>
          <t>Worn Tome</t>
        </is>
      </c>
      <c r="C28" s="17" t="inlineStr">
        <is>
          <t>reason</t>
        </is>
      </c>
      <c r="D28" s="17" t="inlineStr">
        <is>
          <t>worn</t>
        </is>
      </c>
      <c r="E28" s="17" t="n">
        <v>1</v>
      </c>
      <c r="F28" s="17" t="n">
        <v>55</v>
      </c>
      <c r="G28" s="17" t="n">
        <v>0</v>
      </c>
      <c r="H28" s="17" t="n">
        <v>6</v>
      </c>
      <c r="I28" s="17" t="n">
        <v>15</v>
      </c>
      <c r="J28" s="17" t="n">
        <v>1</v>
      </c>
      <c r="K28" s="17" t="n">
        <v>2</v>
      </c>
      <c r="L28" s="17" t="inlineStr">
        <is>
          <t>Below Iron -- scavenged/broken-in gear, not a tuned tier like basic/mid/high.</t>
        </is>
      </c>
    </row>
    <row r="29">
      <c r="A29" s="17" t="inlineStr">
        <is>
          <t>wpn_faith_worn</t>
        </is>
      </c>
      <c r="B29" s="17" t="inlineStr">
        <is>
          <t>Worn Rite</t>
        </is>
      </c>
      <c r="C29" s="17" t="inlineStr">
        <is>
          <t>faith</t>
        </is>
      </c>
      <c r="D29" s="17" t="inlineStr">
        <is>
          <t>worn</t>
        </is>
      </c>
      <c r="E29" s="17" t="n">
        <v>1</v>
      </c>
      <c r="F29" s="17" t="n">
        <v>55</v>
      </c>
      <c r="G29" s="17" t="n">
        <v>0</v>
      </c>
      <c r="H29" s="17" t="n">
        <v>6</v>
      </c>
      <c r="I29" s="17" t="n">
        <v>15</v>
      </c>
      <c r="J29" s="17" t="n">
        <v>1</v>
      </c>
      <c r="K29" s="17" t="n">
        <v>2</v>
      </c>
      <c r="L29" s="17" t="inlineStr">
        <is>
          <t>Below Iron -- scavenged/broken-in gear, not a tuned tier like basic/mid/high.</t>
        </is>
      </c>
    </row>
    <row r="30">
      <c r="A30" s="17" t="inlineStr">
        <is>
          <t>NOTE -- draft weapons table, review before treating as canon. Covers ordinary equipment only -- forges/materials' 5 legendary drops (3-of-5 cap) are a separate system above this tier, per forges' own note that the common smith 'arms lances and axes: the common soldier's tools, not the officer's.' Three tiers per art (basic/mid/high, flavor-named Iron/Steel/Silver) x 7 arts = 21 weapons. Might/hit/crit/weight/uses follow the classic Fire Emblem Iron-Steel-Silver progression (might up, hit and durability down as tier rises) -- this design's own stated lineage per PROJECT_HANDOFF.md, not sourced from anything in canon.xlsx. Range: melee arts (sword/lance/axe/brawl) = 1, bow = 2, reason/faith = 1-2 (standard FE magic range). Names are placeholder and mechanical on purpose (e.g. 'Iron Tome', 'Iron Rite') -- real flavor-naming consistent with the setting's Byzantine/Near-East register is a writing pass for later, not attempted here. No weapon-rank/proficiency gating system exists yet (who can use which tier) -- units' single art_primary/secondary per class implicitly limits which art a unit fights with, but nothing yet gates basic vs. mid vs. high within that art. Drafted by a Claude Code session, 2026-09-16. ADDENDUM: 'worn' tier added below basic -- might 1, hit 55, one art each. Built for the prologue's conquered-army soldiers (enemy_archetypes.ea_conquered_soldier): veteran-level troops equipped with whatever's left after a siege, not a new balance tier anyone is meant to fight through progression. Numbers are a judgment call (roughly basic tier's might/hit at a fifth to two-thirds), not derived from anything in canon.xlsx. Drafted by a Claude Code session, 2026-09-16.</t>
        </is>
      </c>
    </row>
  </sheetData>
  <pageMargins left="0.75" right="0.75" top="1" bottom="1" header="0.5" footer="0.5"/>
</worksheet>
</file>

<file path=xl/worksheets/sheet40.xml><?xml version="1.0" encoding="utf-8"?>
<worksheet xmlns="http://schemas.openxmlformats.org/spreadsheetml/2006/main">
  <sheetPr filterMode="0">
    <outlinePr summaryBelow="1" summaryRight="1"/>
    <pageSetUpPr fitToPage="0"/>
  </sheetPr>
  <dimension ref="A1:I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0" customWidth="1" style="17" min="4" max="4"/>
    <col width="11" customWidth="1" style="17" min="5" max="5"/>
    <col width="44" customWidth="1" style="17" min="6" max="6"/>
    <col width="12" customWidth="1" style="17" min="7" max="7"/>
    <col width="46" customWidth="1" style="17" min="8" max="9"/>
  </cols>
  <sheetData>
    <row r="1" ht="30" customHeight="1" s="18">
      <c r="A1" s="21" t="inlineStr">
        <is>
          <t>forge_id</t>
        </is>
      </c>
      <c r="B1" s="21" t="inlineStr">
        <is>
          <t>name</t>
        </is>
      </c>
      <c r="C1" s="21" t="inlineStr">
        <is>
          <t>location</t>
        </is>
      </c>
      <c r="D1" s="21" t="inlineStr">
        <is>
          <t>tier</t>
        </is>
      </c>
      <c r="E1" s="21" t="inlineStr">
        <is>
          <t>specialty</t>
        </is>
      </c>
      <c r="F1" s="21" t="inlineStr">
        <is>
          <t>smith_notes</t>
        </is>
      </c>
      <c r="G1" s="21" t="inlineStr">
        <is>
          <t>cycle_length</t>
        </is>
      </c>
      <c r="H1" s="21" t="inlineStr">
        <is>
          <t>access_logic</t>
        </is>
      </c>
      <c r="I1" s="21" t="inlineStr">
        <is>
          <t>design_note</t>
        </is>
      </c>
    </row>
    <row r="2" ht="15" customHeight="1" s="18">
      <c r="A2" s="23" t="inlineStr">
        <is>
          <t>frg_standard_a</t>
        </is>
      </c>
      <c r="B2" s="23" t="inlineStr">
        <is>
          <t>the Diadem's forge orders</t>
        </is>
      </c>
      <c r="C2" s="23" t="n"/>
      <c r="D2" s="23" t="inlineStr">
        <is>
          <t>standard</t>
        </is>
      </c>
      <c r="E2" s="23" t="n"/>
      <c r="F2" s="23" t="n"/>
      <c r="G2" s="23" t="inlineStr">
        <is>
          <t>1 chapter</t>
        </is>
      </c>
      <c r="H2" s="23" t="inlineStr">
        <is>
          <t>requisition tier only (1/2/3 open orders at tier 1/2/3)</t>
        </is>
      </c>
      <c r="I2" s="23" t="inlineStr">
        <is>
          <t>the ordinary spine sidequest; no master required</t>
        </is>
      </c>
    </row>
    <row r="3" ht="23.85" customHeight="1" s="18">
      <c r="A3" s="23" t="inlineStr">
        <is>
          <t>frg_standard_b</t>
        </is>
      </c>
      <c r="B3" s="23" t="inlineStr">
        <is>
          <t>the Assembly's forge orders</t>
        </is>
      </c>
      <c r="C3" s="23" t="n"/>
      <c r="D3" s="23" t="inlineStr">
        <is>
          <t>standard</t>
        </is>
      </c>
      <c r="E3" s="23" t="n"/>
      <c r="F3" s="23" t="n"/>
      <c r="G3" s="23" t="inlineStr">
        <is>
          <t>1 chapter</t>
        </is>
      </c>
      <c r="H3" s="23" t="inlineStr">
        <is>
          <t>requisition tier only (1/2/3 open orders at tier 1/2/3)</t>
        </is>
      </c>
      <c r="I3" s="23" t="inlineStr">
        <is>
          <t>the ordinary spine sidequest; no master required</t>
        </is>
      </c>
    </row>
    <row r="4" ht="46.25" customHeight="1" s="18">
      <c r="A4" s="23" t="inlineStr">
        <is>
          <t>frg_kaisareia</t>
        </is>
      </c>
      <c r="B4" s="23" t="inlineStr">
        <is>
          <t>the edged master</t>
        </is>
      </c>
      <c r="C4" s="23" t="inlineStr">
        <is>
          <t>set_kaisareia</t>
        </is>
      </c>
      <c r="D4" s="23" t="inlineStr">
        <is>
          <t>master</t>
        </is>
      </c>
      <c r="E4" s="23" t="inlineStr">
        <is>
          <t>edged</t>
        </is>
      </c>
      <c r="F4" s="23" t="inlineStr">
        <is>
          <t>her own technique is inherited, a lineage carried from further east generations ago and never native to the capital -- the same story as its library</t>
        </is>
      </c>
      <c r="G4" s="23" t="inlineStr">
        <is>
          <t>2 chapters</t>
        </is>
      </c>
      <c r="H4" s="23" t="inlineStr">
        <is>
          <t>STATE LEGITIMACY: requisition tier alone, no road to hold or favour to earn. The crown decides whether you're permitted a blade of the highest order and nothing else enters into it</t>
        </is>
      </c>
      <c r="I4" s="23" t="inlineStr">
        <is>
          <t>the baseline master, always reachable if the crown is willing</t>
        </is>
      </c>
    </row>
    <row r="5" ht="46.25" customHeight="1" s="18">
      <c r="A5" s="23" t="inlineStr">
        <is>
          <t>frg_vashti</t>
        </is>
      </c>
      <c r="B5" s="23" t="inlineStr">
        <is>
          <t>the hafted master</t>
        </is>
      </c>
      <c r="C5" s="23" t="inlineStr">
        <is>
          <t>set_vashti</t>
        </is>
      </c>
      <c r="D5" s="23" t="inlineStr">
        <is>
          <t>master</t>
        </is>
      </c>
      <c r="E5" s="23" t="inlineStr">
        <is>
          <t>hafted</t>
        </is>
      </c>
      <c r="F5" s="23" t="inlineStr">
        <is>
          <t>her family has worked that forge for longer than the current occupation and treats the war as weather</t>
        </is>
      </c>
      <c r="G5" s="23" t="inlineStr">
        <is>
          <t>2 chapters</t>
        </is>
      </c>
      <c r="H5" s="23" t="inlineStr">
        <is>
          <t>MILITARY CONTROL: requires holding the Vashti road, tied directly to Column A's actual chapters rather than a flat unlock -- access can be LOST mid-run if the road is lost</t>
        </is>
      </c>
      <c r="I5" s="23" t="inlineStr">
        <is>
          <t>arms lances and axes: the common soldier's tools, not the officer's. Fitting that the hardest-won master smith makes the plainest weapons</t>
        </is>
      </c>
    </row>
    <row r="6" ht="35.05" customHeight="1" s="18">
      <c r="A6" s="23" t="inlineStr">
        <is>
          <t>frg_herd</t>
        </is>
      </c>
      <c r="B6" s="23" t="inlineStr">
        <is>
          <t>the missile master</t>
        </is>
      </c>
      <c r="C6" s="23" t="inlineStr">
        <is>
          <t>pol_clans</t>
        </is>
      </c>
      <c r="D6" s="23" t="inlineStr">
        <is>
          <t>master</t>
        </is>
      </c>
      <c r="E6" s="23" t="inlineStr">
        <is>
          <t>missile</t>
        </is>
      </c>
      <c r="F6" s="23" t="inlineStr">
        <is>
          <t>answers to no crown and holds no seat; the Herd Clans have no city to besiege and nothing to seize</t>
        </is>
      </c>
      <c r="G6" s="23" t="inlineStr">
        <is>
          <t>2 chapters</t>
        </is>
      </c>
      <c r="H6" s="23" t="inlineStr">
        <is>
          <t>DIPLOMATIC STANDING: cannot be conquered or purchased, only granted passage -- the one master no amount of requisition tier or occupied ground can buy</t>
        </is>
      </c>
      <c r="I6" s="23" t="inlineStr">
        <is>
          <t>the master smith outside the state's reach entirely, which is the point</t>
        </is>
      </c>
    </row>
    <row r="8" ht="15" customHeight="1" s="18">
      <c r="A8" s="25" t="inlineStr">
        <is>
          <t>TWO CHAPTERS for master work, not three -- the brake on the system is the hard cap of 3 master works per run against 5 possible beast materials (see materials tab), not cycle length. Standard forges have no location column entry because they are abstracted to 'wherever your column currently is,' not a place on the map; masters are FIXED buildings you travel to. Three different access logics on purpose, so the masters are not interchangeable: state legitimacy / military control / diplomatic standing.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1.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6" customWidth="1" style="17" min="3" max="3"/>
    <col width="14" customWidth="1" style="17" min="4" max="4"/>
    <col width="16" customWidth="1" style="17" min="5" max="5"/>
    <col width="60" customWidth="1" style="17" min="6" max="6"/>
  </cols>
  <sheetData>
    <row r="1" ht="30" customHeight="1" s="18">
      <c r="A1" s="21" t="inlineStr">
        <is>
          <t>material_id</t>
        </is>
      </c>
      <c r="B1" s="21" t="inlineStr">
        <is>
          <t>named_id</t>
        </is>
      </c>
      <c r="C1" s="21" t="inlineStr">
        <is>
          <t>drop</t>
        </is>
      </c>
      <c r="D1" s="21" t="inlineStr">
        <is>
          <t>forge_id</t>
        </is>
      </c>
      <c r="E1" s="21" t="inlineStr">
        <is>
          <t>specialty_required</t>
        </is>
      </c>
      <c r="F1" s="21" t="inlineStr">
        <is>
          <t>resulting_weapon</t>
        </is>
      </c>
    </row>
    <row r="2" ht="15" customHeight="1" s="18">
      <c r="A2" s="23" t="inlineStr">
        <is>
          <t>mat_simurgh</t>
        </is>
      </c>
      <c r="B2" s="23" t="inlineStr">
        <is>
          <t>nmd_simurgh</t>
        </is>
      </c>
      <c r="C2" s="23" t="inlineStr">
        <is>
          <t>the feather</t>
        </is>
      </c>
      <c r="D2" s="23" t="inlineStr">
        <is>
          <t>frg_kaisareia</t>
        </is>
      </c>
      <c r="E2" s="23" t="inlineStr">
        <is>
          <t>edged</t>
        </is>
      </c>
      <c r="F2" s="23" t="inlineStr">
        <is>
          <t>a blade that heals its wielder's allies on contact rather than the wielder</t>
        </is>
      </c>
    </row>
    <row r="3" ht="23.85" customHeight="1" s="18">
      <c r="A3" s="23" t="inlineStr">
        <is>
          <t>mat_karkadann</t>
        </is>
      </c>
      <c r="B3" s="23" t="inlineStr">
        <is>
          <t>nmd_karkadann</t>
        </is>
      </c>
      <c r="C3" s="23" t="inlineStr">
        <is>
          <t>the horn</t>
        </is>
      </c>
      <c r="D3" s="23" t="inlineStr">
        <is>
          <t>frg_vashti</t>
        </is>
      </c>
      <c r="E3" s="23" t="inlineStr">
        <is>
          <t>hafted</t>
        </is>
      </c>
      <c r="F3" s="23" t="inlineStr">
        <is>
          <t>the Karkadann-horned lance: strong vs. mounted units, nothing special vs. infantry</t>
        </is>
      </c>
    </row>
    <row r="4" ht="23.85" customHeight="1" s="18">
      <c r="A4" s="23" t="inlineStr">
        <is>
          <t>mat_anzu</t>
        </is>
      </c>
      <c r="B4" s="23" t="inlineStr">
        <is>
          <t>nmd_anzu</t>
        </is>
      </c>
      <c r="C4" s="23" t="inlineStr">
        <is>
          <t>torn pinions</t>
        </is>
      </c>
      <c r="D4" s="23" t="inlineStr">
        <is>
          <t>frg_kaisareia</t>
        </is>
      </c>
      <c r="E4" s="23" t="inlineStr">
        <is>
          <t>edged</t>
        </is>
      </c>
      <c r="F4" s="23" t="inlineStr">
        <is>
          <t>an edge that unmakes weapons on contact, from something that already unmakes weapons</t>
        </is>
      </c>
    </row>
    <row r="5" ht="23.85" customHeight="1" s="18">
      <c r="A5" s="23" t="inlineStr">
        <is>
          <t>mat_shadhavar</t>
        </is>
      </c>
      <c r="B5" s="23" t="inlineStr">
        <is>
          <t>nmd_shadhavar</t>
        </is>
      </c>
      <c r="C5" s="23" t="inlineStr">
        <is>
          <t>a hollow horn</t>
        </is>
      </c>
      <c r="D5" s="23" t="inlineStr">
        <is>
          <t>frg_herd</t>
        </is>
      </c>
      <c r="E5" s="23" t="inlineStr">
        <is>
          <t>missile</t>
        </is>
      </c>
      <c r="F5" s="23" t="inlineStr">
        <is>
          <t>a bow that hums and drags the nearest enemy a tile closer -- can't be turned off</t>
        </is>
      </c>
    </row>
    <row r="6" ht="35.05" customHeight="1" s="18">
      <c r="A6" s="23" t="inlineStr">
        <is>
          <t>mat_huma</t>
        </is>
      </c>
      <c r="B6" s="23" t="inlineStr">
        <is>
          <t>nmd_huma</t>
        </is>
      </c>
      <c r="C6" s="23" t="inlineStr">
        <is>
          <t>(cannot be harvested)</t>
        </is>
      </c>
      <c r="D6" s="23" t="n"/>
      <c r="E6" s="23" t="n"/>
      <c r="F6" s="23" t="inlineStr">
        <is>
          <t>the Huma cannot be captured or harvested at all -- see the kill-taboo. No weapon exists from it, on purpose: the one Named with no forge payoff, because it was never a mount to begin with</t>
        </is>
      </c>
    </row>
    <row r="8" ht="15" customHeight="1" s="18">
      <c r="A8" s="25" t="inlineStr">
        <is>
          <t>HARD CAP: 3 master works per run against 5 possible drops (4 usable + the Huma, which yields none). 'You can't have everything' lives here, not in cycle length. Materials never expire, so banking across a dozen chapters is legal strategy, not an exploit -- the commitment moment is whenever you choose to spend one, not whenever you got it.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2.xml><?xml version="1.0" encoding="utf-8"?>
<worksheet xmlns="http://schemas.openxmlformats.org/spreadsheetml/2006/main">
  <sheetPr filterMode="0">
    <outlinePr summaryBelow="1" summaryRight="1"/>
    <pageSetUpPr fitToPage="0"/>
  </sheetPr>
  <dimension ref="A1:G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30" customWidth="1" style="17" min="2" max="2"/>
    <col width="24" customWidth="1" style="17" min="3" max="3"/>
    <col width="48" customWidth="1" style="17" min="4" max="5"/>
    <col width="36" customWidth="1" style="17" min="6" max="6"/>
    <col width="46" customWidth="1" style="17" min="7" max="7"/>
  </cols>
  <sheetData>
    <row r="1" ht="30" customHeight="1" s="18">
      <c r="A1" s="21" t="inlineStr">
        <is>
          <t>sect_id</t>
        </is>
      </c>
      <c r="B1" s="21" t="inlineStr">
        <is>
          <t>primary_analog</t>
        </is>
      </c>
      <c r="C1" s="21" t="inlineStr">
        <is>
          <t>period</t>
        </is>
      </c>
      <c r="D1" s="21" t="inlineStr">
        <is>
          <t>doctrinal_anchor</t>
        </is>
      </c>
      <c r="E1" s="21" t="inlineStr">
        <is>
          <t>historical_anchor</t>
        </is>
      </c>
      <c r="F1" s="21" t="inlineStr">
        <is>
          <t>key_terms</t>
        </is>
      </c>
      <c r="G1" s="21" t="inlineStr">
        <is>
          <t>caution</t>
        </is>
      </c>
    </row>
    <row r="2" ht="68.65000000000001" customHeight="1" s="18">
      <c r="A2" s="23" t="inlineStr">
        <is>
          <t>sect_vashti</t>
        </is>
      </c>
      <c r="B2" s="23" t="inlineStr">
        <is>
          <t>Donatism</t>
        </is>
      </c>
      <c r="C2" s="23" t="inlineStr">
        <is>
          <t>early 4th c., Roman North Africa</t>
        </is>
      </c>
      <c r="D2" s="23" t="inlineStr">
        <is>
          <t>sacramental validity depends on the minister's own moral state -- a priest who handed over scripture under persecution (a traditor) cannot validly perform sacraments afterward; rebaptism and reconsecration are required</t>
        </is>
      </c>
      <c r="E2" s="23" t="inlineStr">
        <is>
          <t>arose among communities whose clergy split under the Diocletianic persecution (303-305 AD) -- some martyred, some capitulated -- and the controversy over the survivors' authority outlived the persecution by a century</t>
        </is>
      </c>
      <c r="F2" s="23" t="inlineStr">
        <is>
          <t>traditor (one who handed over); rebaptism; purity of the minister</t>
        </is>
      </c>
      <c r="G2" s="23" t="inlineStr">
        <is>
          <t>the historical Donatists had a violent fringe, the Circumcellions -- whether the Unstained have an equivalent should be a deliberate choice, not an accident of the parallel. Also: historical Donatism lost and was suppressed; the Unstained's fate here is undecided and does not have to mirror that</t>
        </is>
      </c>
    </row>
    <row r="3" ht="79.84999999999999" customHeight="1" s="18">
      <c r="A3" s="23" t="inlineStr">
        <is>
          <t>sect_march</t>
        </is>
      </c>
      <c r="B3" s="23" t="inlineStr">
        <is>
          <t>Montanism (doctrine) + Latter Day Saint restorationism (cosmology)</t>
        </is>
      </c>
      <c r="C3" s="23" t="inlineStr">
        <is>
          <t>Montanism: mid-late 2nd c. Phrygia. LDS content: 19th c.</t>
        </is>
      </c>
      <c r="D3" s="23" t="inlineStr">
        <is>
          <t>Montanism: revelation did not close with the apostles; Montanus and the prophetesses Priscilla and Maximilla claimed ongoing direct inspiration by the Paraclete. LDS: restorationism proper -- everything was lost and has now been given back whole, through an unknown person, complete with new scripture still arriving</t>
        </is>
      </c>
      <c r="E3" s="23" t="inlineStr">
        <is>
          <t>Tertullian, a major orthodox theologian, defected to Montanism late in life -- a ready beat if a respected clerk ever joins this sect. Separately: 1 Corinthians 15:29 references a genuinely murky ancient practice of baptism for the dead, which the LDS church later revived citing that exact verse -- so 'rebaptism of the dead' has one foot in the 2nd century and one in the 19th, and both are real</t>
        </is>
      </c>
      <c r="F3" s="23" t="inlineStr">
        <is>
          <t>New Prophecy; the Paraclete; ecstatic utterance; restoration; a living seer</t>
        </is>
      </c>
      <c r="G3" s="23" t="inlineStr">
        <is>
          <t>DELIBERATE COMPRESSION, not an error: this sect's cosmology is centuries later than its doctrinal bones and later than every other sect's anchor. Worth being honest about that in the writers' room rather than presenting it as period-accurate</t>
        </is>
      </c>
    </row>
    <row r="4" ht="57.45" customHeight="1" s="18">
      <c r="A4" s="23" t="inlineStr">
        <is>
          <t>sect_road</t>
        </is>
      </c>
      <c r="B4" s="23" t="inlineStr">
        <is>
          <t>Pauline soteriology (doctrine) + the Church of the East (structure)</t>
        </is>
      </c>
      <c r="C4" s="23" t="inlineStr">
        <is>
          <t>Paul: 1st c. Church of the East's Silk Road reach: 7th-9th c. onward</t>
        </is>
      </c>
      <c r="D4" s="23" t="inlineStr">
        <is>
          <t>Paul's Greek for redemption is commercial, not merely poetic: exagorazo (buy out of the marketplace), apolytrosis (a ransom price) -- 'you were bought with a price,' stated plainly, twice, in 1 Corinthians. The Company took the metaphor literally</t>
        </is>
      </c>
      <c r="E4" s="23" t="inlineStr">
        <is>
          <t>the Church of the East spread from Persia along the Silk Road into Central Asia, India, and as far as China almost entirely through merchant and monastic networks, with no empire ever behind it -- the Nestorian Stele at Xi'an (781 AD) records exactly that reach</t>
        </is>
      </c>
      <c r="F4" s="23" t="inlineStr">
        <is>
          <t>redemption as ransom; exagorazo; the Church of the East; Silk Road Christianity</t>
        </is>
      </c>
      <c r="G4" s="23" t="inlineStr">
        <is>
          <t>this pairing is also the best protection on the antisemitism guardrails worked out earlier: the Church of the East was a confession people converted INTO by trade and persuasion, not an ethnicity, which reinforces rather than undercuts those guardrails</t>
        </is>
      </c>
    </row>
    <row r="5" ht="79.84999999999999" customHeight="1" s="18">
      <c r="A5" s="23" t="inlineStr">
        <is>
          <t>sect_court</t>
        </is>
      </c>
      <c r="B5" s="23" t="inlineStr">
        <is>
          <t>Arianism</t>
        </is>
      </c>
      <c r="C5" s="23" t="inlineStr">
        <is>
          <t>4th c., Alexandria / Nicaea / Constantinople</t>
        </is>
      </c>
      <c r="D5" s="23" t="inlineStr">
        <is>
          <t>Arius held Christ was created by the Father and therefore not co-eternal with him -- 'there was a time when he was not' -- condemned at Nicaea in 325, whose creed's 'begotten, not made' line exists specifically to refute him</t>
        </is>
      </c>
      <c r="E5" s="23" t="inlineStr">
        <is>
          <t>despite condemnation, Arian Christianity kept finding imperial backing anyway (Constantius II favoured a semi-Arian position) and became the dominant form among several Germanic peoples via Ulfilas's mission -- a created, subordinate Christ maps far more comfortably onto political hierarchy than a co-equal one does, which is precisely why crowns kept finding it useful</t>
        </is>
      </c>
      <c r="F5" s="23" t="inlineStr">
        <is>
          <t>'there was a time when he was not'; homoousios (the word Arianism rejected); Ulfilas</t>
        </is>
      </c>
      <c r="G5" s="23" t="inlineStr">
        <is>
          <t>none major -- this is the cleanest parallel in the set and is already well used</t>
        </is>
      </c>
    </row>
    <row r="6" ht="57.45" customHeight="1" s="18">
      <c r="A6" s="23" t="inlineStr">
        <is>
          <t>sect_coast</t>
        </is>
      </c>
      <c r="B6" s="23" t="inlineStr">
        <is>
          <t>apophatic (negative) theology + the Desert Fathers and Mothers</t>
        </is>
      </c>
      <c r="C6" s="23" t="inlineStr">
        <is>
          <t>Pseudo-Dionysius: late 5th/early 6th c. Desert Fathers: 3rd-5th c. Egypt/Syria</t>
        </is>
      </c>
      <c r="D6" s="23" t="inlineStr">
        <is>
          <t>Pseudo-Dionysius the Areopagite held God exceeds every positive statement -- you can only say what God is NOT, since any positive claim inevitably diminishes the infinite. Under this view, silence is not evasion, it is the theologically correct answer</t>
        </is>
      </c>
      <c r="E6" s="23" t="inlineStr">
        <is>
          <t>the Desert Fathers actually lived this: the Sayings of the Desert Fathers record monks answering doctrinal questions with silence, a parable, or a redirection, precisely because they had withdrawn from the church politics of their day</t>
        </is>
      </c>
      <c r="F6" s="23" t="inlineStr">
        <is>
          <t>apophatic / negative theology; Pseudo-Dionysius; the Sayings of the Desert Fathers</t>
        </is>
      </c>
      <c r="G6" s="23" t="inlineStr">
        <is>
          <t>none major</t>
        </is>
      </c>
    </row>
    <row r="8" ht="15" customHeight="1" s="18">
      <c r="A8" s="25" t="inlineStr">
        <is>
          <t>REFERENCE FOR WRITERS, not for players -- none of this is meant to surface as a direct citation in-game. The setting mirrors real Christian history rather than sourcing from it (established principle: Lesser Key motifs as mirror, not direct import), and this tab exists so dialogue and doctrine stay internally consistent with the real positions they echo. Two sects (the Continuing Word, the Company) need a second anchor because a single historical movement covers either the doctrine or the practice but not both -- that split is noted explicitly rather than smoothed over. The five real movements span the 2nd through 19th centuries; the setting compresses them into five sects arguing at the same moment, which is a deliberate choice, not a claim of period accuracy.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3.xml><?xml version="1.0" encoding="utf-8"?>
<worksheet xmlns="http://schemas.openxmlformats.org/spreadsheetml/2006/main">
  <sheetPr filterMode="0">
    <outlinePr summaryBelow="1" summaryRight="1"/>
    <pageSetUpPr fitToPage="0"/>
  </sheetPr>
  <dimension ref="A1:D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14" customWidth="1" style="17" min="2" max="2"/>
    <col width="60" customWidth="1" style="17" min="3" max="3"/>
    <col width="20" customWidth="1" style="17" min="4" max="4"/>
  </cols>
  <sheetData>
    <row r="1" ht="30" customHeight="1" s="18">
      <c r="A1" s="21" t="inlineStr">
        <is>
          <t>signal_id</t>
        </is>
      </c>
      <c r="B1" s="21" t="inlineStr">
        <is>
          <t>category</t>
        </is>
      </c>
      <c r="C1" s="21" t="inlineStr">
        <is>
          <t>what_it_reads</t>
        </is>
      </c>
      <c r="D1" s="21" t="inlineStr">
        <is>
          <t>status</t>
        </is>
      </c>
    </row>
    <row r="2" ht="23.85" customHeight="1" s="18">
      <c r="A2" s="23" t="inlineStr">
        <is>
          <t>sig_dispersal_ratio</t>
        </is>
      </c>
      <c r="B2" s="23" t="inlineStr">
        <is>
          <t>combat</t>
        </is>
      </c>
      <c r="C2" s="23" t="inlineStr">
        <is>
          <t>dispersal-vs-kill ratio across the run (already tracked via epithets ep_dispersal / ep_bosskill etc.)</t>
        </is>
      </c>
      <c r="D2" s="23" t="inlineStr">
        <is>
          <t>candidate -- not locked</t>
        </is>
      </c>
    </row>
    <row r="3" ht="23.85" customHeight="1" s="18">
      <c r="A3" s="23" t="inlineStr">
        <is>
          <t>sig_unstained_respected</t>
        </is>
      </c>
      <c r="B3" s="23" t="inlineStr">
        <is>
          <t>sect</t>
        </is>
      </c>
      <c r="C3" s="23" t="inlineStr">
        <is>
          <t>whether the Unstained's refusal of him was honored or steamrolled in how their chapters/paralogue resolved</t>
        </is>
      </c>
      <c r="D3" s="23" t="inlineStr">
        <is>
          <t>candidate -- not locked</t>
        </is>
      </c>
    </row>
    <row r="4" ht="23.85" customHeight="1" s="18">
      <c r="A4" s="23" t="inlineStr">
        <is>
          <t>sig_kest_restitution</t>
        </is>
      </c>
      <c r="B4" s="23" t="inlineStr">
        <is>
          <t>unit-specific</t>
        </is>
      </c>
      <c r="C4" s="23" t="inlineStr">
        <is>
          <t>how Kest's arc closes -- whether the decan token thread resolves as restitution or as one more extraction</t>
        </is>
      </c>
      <c r="D4" s="23" t="inlineStr">
        <is>
          <t>candidate -- not locked</t>
        </is>
      </c>
    </row>
    <row r="5" ht="23.85" customHeight="1" s="18">
      <c r="A5" s="23" t="inlineStr">
        <is>
          <t>sig_forge_use</t>
        </is>
      </c>
      <c r="B5" s="23" t="inlineStr">
        <is>
          <t>economy</t>
        </is>
      </c>
      <c r="C5" s="23" t="inlineStr">
        <is>
          <t>whether master-smith and forge access was used to help recruits/allies or to extract from them (ties to the 3-of-5 material cap decisions)</t>
        </is>
      </c>
      <c r="D5" s="23" t="inlineStr">
        <is>
          <t>candidate -- not locked</t>
        </is>
      </c>
    </row>
    <row r="6" ht="23.85" customHeight="1" s="18">
      <c r="A6" s="23" t="inlineStr">
        <is>
          <t>sig_defection_handling</t>
        </is>
      </c>
      <c r="B6" s="23" t="inlineStr">
        <is>
          <t>unit-specific</t>
        </is>
      </c>
      <c r="C6" s="23" t="inlineStr">
        <is>
          <t>how Maren's conditional defection was handled -- recovered through genuine amends vs. left, or worse, exploited</t>
        </is>
      </c>
      <c r="D6" s="23" t="inlineStr">
        <is>
          <t>candidate -- not locked</t>
        </is>
      </c>
    </row>
    <row r="8" ht="15" customHeight="1" s="18">
      <c r="A8" s="25" t="inlineStr">
        <is>
          <t>EXPLICITLY OPEN -- these are candidates, not a locked checklist. The final signal set and their weighting is an authored decision on the scale of 'which sect grows the Enlightened One' and belongs to its own session. Do not treat this tab as final; it exists so the dependency is visible before Act 3 chapters get drafted, same treatment as Kest's token payoff.</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4.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26" customWidth="1" style="17" min="2" max="2"/>
    <col width="20" customWidth="1" style="17" min="3" max="3"/>
    <col width="32" customWidth="1" style="17" min="4" max="4"/>
    <col width="50" customWidth="1" style="17" min="5" max="5"/>
    <col width="72" customWidth="1" style="17" min="6" max="6"/>
  </cols>
  <sheetData>
    <row r="1" ht="30" customHeight="1" s="18">
      <c r="A1" s="21" t="inlineStr">
        <is>
          <t>ending_id</t>
        </is>
      </c>
      <c r="B1" s="21" t="inlineStr">
        <is>
          <t>route</t>
        </is>
      </c>
      <c r="C1" s="21" t="inlineStr">
        <is>
          <t>name</t>
        </is>
      </c>
      <c r="D1" s="21" t="inlineStr">
        <is>
          <t>trigger</t>
        </is>
      </c>
      <c r="E1" s="21" t="inlineStr">
        <is>
          <t>premise</t>
        </is>
      </c>
      <c r="F1" s="21" t="inlineStr">
        <is>
          <t>resolution_and_aftermath</t>
        </is>
      </c>
    </row>
    <row r="2" ht="79.84999999999999" customHeight="1" s="18">
      <c r="A2" s="23" t="inlineStr">
        <is>
          <t>end_hierophant</t>
        </is>
      </c>
      <c r="B2" s="23" t="inlineStr">
        <is>
          <t>route_hierophant</t>
        </is>
      </c>
      <c r="C2" s="23" t="inlineStr">
        <is>
          <t>The Hierophant's capture (shared lead-up, not terminal)</t>
        </is>
      </c>
      <c r="D2" s="23" t="inlineStr">
        <is>
          <t>sect_id: sect_march (RESOLVED 2026-09-23, see the_hierophant tab)</t>
        </is>
      </c>
      <c r="E2" s="23" t="inlineStr">
        <is>
          <t>the movement forces one answer onto a five-way argument the game has kept deliberately plural; the defense scenario is a literal conquest -- march, forced conversion, crusade logic, not economic absorption</t>
        </is>
      </c>
      <c r="F2" s="23" t="inlineStr">
        <is>
          <t>the defense scenario ends in capture, not a kill -- the party wins the battle and the Diadem convenes a formal trial (crowned, bureaucratic state-legitimacy polity; the same machine that produces deputies off the epithet ledger now processes the largest moral choice in the game, not a special cutscene outside the system). The avatar or whoever holds the relevant commission recommends sentence. FORKS into end_hierophant_mercy or end_hierophant_execution -- see those rows for the actual terminal states.</t>
        </is>
      </c>
    </row>
    <row r="3" ht="79.84999999999999" customHeight="1" s="18">
      <c r="A3" s="23" t="inlineStr">
        <is>
          <t>end_sanctified</t>
        </is>
      </c>
      <c r="B3" s="23" t="inlineStr">
        <is>
          <t>route_enlightened_one, GOOD branch</t>
        </is>
      </c>
      <c r="C3" s="23" t="inlineStr">
        <is>
          <t>Sanctification</t>
        </is>
      </c>
      <c r="D3" s="23" t="inlineStr">
        <is>
          <t>hidden telemetry threshold -- see ascension_signals tab</t>
        </is>
      </c>
      <c r="E3" s="23" t="inlineStr">
        <is>
          <t>his ascension succeeds honestly: the debts that built his power were genuinely offered, not extracted. He becomes what his own doctrine claims to be -- grace as credit discharged by another, made literal and singular</t>
        </is>
      </c>
      <c r="F3" s="23" t="inlineStr">
        <is>
          <t>NOT a boss fight against him. The party fights the deposed patrons of the Hundred Cities -- the full Lesser Key roster, ranks and legions made literal and playable for the first time -- as they resist being absorbed into one new claim. AMBIVALENT ON PURPOSE: a true, actually-good singular god still ends the plurality the whole game has protected. Historical anchor: local gods becoming saints, folk figures, or devils under an arriving monotheism, rarely simply erased -- this is that transition, played out with real stakes and no villain on the other side</t>
        </is>
      </c>
    </row>
    <row r="4" ht="102.2" customHeight="1" s="18">
      <c r="A4" s="23" t="inlineStr">
        <is>
          <t>end_perverse</t>
        </is>
      </c>
      <c r="B4" s="23" t="inlineStr">
        <is>
          <t>route_enlightened_one, BAD branch</t>
        </is>
      </c>
      <c r="C4" s="23" t="inlineStr">
        <is>
          <t>The perverse god</t>
        </is>
      </c>
      <c r="D4" s="23" t="inlineStr">
        <is>
          <t>hidden telemetry threshold NOT met -- see ascension_signals tab</t>
        </is>
      </c>
      <c r="E4" s="23" t="inlineStr">
        <is>
          <t>his ascension is corrupted: the debts that built his power were extracted from people with no real choice. What emerges is monotheism-as-conquest rather than monotheism-as-grace</t>
        </is>
      </c>
      <c r="F4" s="23" t="inlineStr">
        <is>
          <t>the party fights HIM directly. VISUAL CONVERGENCE WITH THE IDOL, deliberate: a false godhood assembled from what was taken, same as the Hierophant's colossus -- money and certainty are different roads to the same wrong destination. AFTERMATH is denial, not martyrdom, because he is exposed while still alive rather than killed: a remnant decides the defeat was itself a hidden necessary step and continues practicing in secret. Historical anchor: Sabbatai Zevi, the 17th c. claimant given a choice between conversion to Islam and execution, who converted -- and the Donmeh, a real following who reinterpreted the conversion as part of the messianic process rather than its refutation, and continued for centuries</t>
        </is>
      </c>
    </row>
    <row r="5" ht="79.84999999999999" customHeight="1" s="18">
      <c r="A5" s="23" t="inlineStr">
        <is>
          <t>end_hierophant_mercy</t>
        </is>
      </c>
      <c r="B5" s="23" t="inlineStr">
        <is>
          <t>route_hierophant, MERCY branch</t>
        </is>
      </c>
      <c r="C5" s="23" t="inlineStr">
        <is>
          <t>Subterfuge</t>
        </is>
      </c>
      <c r="D5" s="23" t="inlineStr">
        <is>
          <t>player chooses mercy at the Kaisareia trial</t>
        </is>
      </c>
      <c r="E5" s="23" t="inlineStr">
        <is>
          <t>sparing him doesn't neutralise him -- it leaves a devoted core with no clean loss to mourn and a prophet (Methodios) who cannot accept a humiliating public capitulation as final</t>
        </is>
      </c>
      <c r="F5" s="23" t="inlineStr">
        <is>
          <t>Methodios reframes the submission as a hidden necessary descent before the true ascension (the real Nathan of Gaza's exact move after Sabbatai Zevi's conversion to Islam under threat of execution). The movement goes underground and finishes what got interrupted -- A SECOND, LATER BATTLE. Deliberately convergent iconography with end_perverse and the Idol: mercy-then-subterfuge and extraction-then-ascension are the same wrong destination reached from different starts, and reusing the visual language says so without dialogue</t>
        </is>
      </c>
    </row>
    <row r="6" ht="113.4" customHeight="1" s="18">
      <c r="A6" s="23" t="inlineStr">
        <is>
          <t>end_hierophant_execution</t>
        </is>
      </c>
      <c r="B6" s="23" t="inlineStr">
        <is>
          <t>route_hierophant, EXECUTION branch</t>
        </is>
      </c>
      <c r="C6" s="23" t="inlineStr">
        <is>
          <t>The war</t>
        </is>
      </c>
      <c r="D6" s="23" t="inlineStr">
        <is>
          <t>player chooses execution at the Kaisareia trial</t>
        </is>
      </c>
      <c r="E6" s="23" t="inlineStr">
        <is>
          <t>there is no ambiguity left for Methodios to manage quietly -- a killing reads as betrayal even without a literal broken promise, because the trial itself performed impartiality the outcome then violated</t>
        </is>
      </c>
      <c r="F6" s="23" t="inlineStr">
        <is>
          <t>not one climactic fight -- several chapters of costly, attritional maps against regions and sects that were allied or neutral an act ago, now fractured. Historical anchor: Jan Hus, promised safe conduct to defend his views before a council, tried anyway, burned in 1415 -- the betrayal ignited the Hussite Wars, two decades of grinding conflict the Hussites were never fully crushed in, forcing a negotiated settlement rather than suppression. THE ASYMMETRY: mercy keeps the cost on the party, personally, later (a second fight, the world outside stays intact); execution discharges the cost onto the world immediately and completely (a war fought by people who did nothing wrong except believe the wrong thing at the wrong moment), while the party's hands are clean of that one death mattering twice. Neither is the nice option; both are honest</t>
        </is>
      </c>
    </row>
    <row r="8" ht="15" customHeight="1" s="18">
      <c r="A8" s="25" t="inlineStr">
        <is>
          <t>FOUR terminal states now, not three -- end_hierophant is the shared lead-up (capture + trial), not itself an ending. Sanctified, Perverse, Hierophant-Mercy, Hierophant-Execution. Both the Enlightened One's fork and the Hierophant's fork now run on the same underlying principle: how the party treated people earlier determines which of two very different aftermaths follows a victory that, tactically, plays out identically either way. Tactical resolution stays fully cathartic in all four; only the aftermath framing and the presence/absence of a follow-up battle differ.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5.xml><?xml version="1.0" encoding="utf-8"?>
<worksheet xmlns="http://schemas.openxmlformats.org/spreadsheetml/2006/main">
  <sheetPr filterMode="0">
    <outlinePr summaryBelow="1" summaryRight="1"/>
    <pageSetUpPr fitToPage="0"/>
  </sheetPr>
  <dimension ref="A1:F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8" customWidth="1" style="17" min="2" max="2"/>
    <col width="24" customWidth="1" style="17" min="3" max="3"/>
    <col width="54" customWidth="1" style="17" min="4" max="4"/>
    <col width="24" customWidth="1" style="17" min="5" max="5"/>
    <col width="54" customWidth="1" style="17" min="6" max="6"/>
  </cols>
  <sheetData>
    <row r="1" ht="30" customHeight="1" s="18">
      <c r="A1" s="21" t="inlineStr">
        <is>
          <t>ref_id</t>
        </is>
      </c>
      <c r="B1" s="21" t="inlineStr">
        <is>
          <t>figure_or_term</t>
        </is>
      </c>
      <c r="C1" s="21" t="inlineStr">
        <is>
          <t>period</t>
        </is>
      </c>
      <c r="D1" s="21" t="inlineStr">
        <is>
          <t>the_hook</t>
        </is>
      </c>
      <c r="E1" s="21" t="inlineStr">
        <is>
          <t>status</t>
        </is>
      </c>
      <c r="F1" s="21" t="inlineStr">
        <is>
          <t>fit</t>
        </is>
      </c>
    </row>
    <row r="2" ht="35.05" customHeight="1" s="18">
      <c r="A2" s="23" t="inlineStr">
        <is>
          <t>ref_kopronymos</t>
        </is>
      </c>
      <c r="B2" s="23" t="inlineStr">
        <is>
          <t>Constantine V "Kopronymos"</t>
        </is>
      </c>
      <c r="C2" s="23" t="inlineStr">
        <is>
          <t>Byzantine imperial, 8th c.</t>
        </is>
      </c>
      <c r="D2" s="23" t="inlineStr">
        <is>
          <t>an iconoclast emperor whose opponents gave him a scatological insult-epithet ('the Dung-Named') that permanently outlived his own chosen name in the historical record</t>
        </is>
      </c>
      <c r="E2" s="23" t="inlineStr">
        <is>
          <t>assigned</t>
        </is>
      </c>
      <c r="F2" s="23" t="inlineStr">
        <is>
          <t>proof-of-concept for the three-name rule -- an enemy's insult can outlast a person's own title</t>
        </is>
      </c>
    </row>
    <row r="3" ht="35.05" customHeight="1" s="18">
      <c r="A3" s="23" t="inlineStr">
        <is>
          <t>ref_rhinotmetos</t>
        </is>
      </c>
      <c r="B3" s="23" t="inlineStr">
        <is>
          <t>Justinian II "Rhinotmetos"</t>
        </is>
      </c>
      <c r="C3" s="23" t="inlineStr">
        <is>
          <t>Byzantine imperial, 7th-8th c.</t>
        </is>
      </c>
      <c r="D3" s="23" t="inlineStr">
        <is>
          <t>deposed, nose slit (disfigurement was believed to disqualify a claimant from the throne), exiled -- then reconquered the throne years later anyway, reportedly with a gold prosthetic nose</t>
        </is>
      </c>
      <c r="E3" s="23" t="inlineStr">
        <is>
          <t>open</t>
        </is>
      </c>
      <c r="F3" s="23" t="inlineStr">
        <is>
          <t>an unclaimed origin for a Jagen or a returning legend, stranger than fiction</t>
        </is>
      </c>
    </row>
    <row r="4" ht="35.05" customHeight="1" s="18">
      <c r="A4" s="23" t="inlineStr">
        <is>
          <t>ref_photios</t>
        </is>
      </c>
      <c r="B4" s="23" t="inlineStr">
        <is>
          <t>Photios</t>
        </is>
      </c>
      <c r="C4" s="23" t="inlineStr">
        <is>
          <t>Byzantine patriarch, 9th c.</t>
        </is>
      </c>
      <c r="D4" s="23" t="inlineStr">
        <is>
          <t>author of the Bibliotheca, a catalog of hundreds of ancient books, many surviving today ONLY because he summarised them before the originals were lost</t>
        </is>
      </c>
      <c r="E4" s="23" t="inlineStr">
        <is>
          <t>open</t>
        </is>
      </c>
      <c r="F4" s="23" t="inlineStr">
        <is>
          <t>best fit found for the literacy thread -- Emmerich's requisitions-clerk role or whatever academy trained Ricberta</t>
        </is>
      </c>
    </row>
    <row r="5" ht="46.25" customHeight="1" s="18">
      <c r="A5" s="23" t="inlineStr">
        <is>
          <t>ref_john_damascus</t>
        </is>
      </c>
      <c r="B5" s="23" t="inlineStr">
        <is>
          <t>John of Damascus</t>
        </is>
      </c>
      <c r="C5" s="23" t="inlineStr">
        <is>
          <t>theologian, 8th c.</t>
        </is>
      </c>
      <c r="D5" s="23" t="inlineStr">
        <is>
          <t>wrote the major defence of icon veneration during Byzantine iconoclasm specifically because he lived under Islamic rule, outside the persecuting emperor's reach -- could say what a state-bound cleric couldn't</t>
        </is>
      </c>
      <c r="E5" s="23" t="inlineStr">
        <is>
          <t>open</t>
        </is>
      </c>
      <c r="F5" s="23" t="inlineStr">
        <is>
          <t>the Company of the Road's structural theological freedom, already lived once</t>
        </is>
      </c>
    </row>
    <row r="6" ht="35.05" customHeight="1" s="18">
      <c r="A6" s="23" t="inlineStr">
        <is>
          <t>ref_zal</t>
        </is>
      </c>
      <c r="B6" s="23" t="inlineStr">
        <is>
          <t>Zal</t>
        </is>
      </c>
      <c r="C6" s="23" t="inlineStr">
        <is>
          <t>Shahnameh, Persian epic</t>
        </is>
      </c>
      <c r="D6" s="23" t="inlineStr">
        <is>
          <t>the abandoned child the Simurgh raised and taught -- the exact myth the Simurgh pact already runs on</t>
        </is>
      </c>
      <c r="E6" s="23" t="inlineStr">
        <is>
          <t>deliberately left open</t>
        </is>
      </c>
      <c r="F6" s="23" t="inlineStr">
        <is>
          <t>too good to retrofit onto an existing unit; sitting for a future paralogue NPC or new unit slot, not bolted onto Rinsa or anyone whose arc wasn't written around being fostered</t>
        </is>
      </c>
    </row>
    <row r="7" ht="35.05" customHeight="1" s="18">
      <c r="A7" s="23" t="inlineStr">
        <is>
          <t>ref_anna_komnene</t>
        </is>
      </c>
      <c r="B7" s="23" t="inlineStr">
        <is>
          <t>Anna Komnene</t>
        </is>
      </c>
      <c r="C7" s="23" t="inlineStr">
        <is>
          <t>Byzantine princess-historian, 12th c.</t>
        </is>
      </c>
      <c r="D7" s="23" t="inlineStr">
        <is>
          <t>wrote the Alexiad about her father's reign, one of history's first women historians</t>
        </is>
      </c>
      <c r="E7" s="23" t="inlineStr">
        <is>
          <t>ASSIGNED 2026-08-21</t>
        </is>
      </c>
      <c r="F7" s="23" t="inlineStr">
        <is>
          <t>guest_units.gst_anna</t>
        </is>
      </c>
    </row>
    <row r="8" ht="46.25" customHeight="1" s="18">
      <c r="A8" s="23" t="inlineStr">
        <is>
          <t>ref_bogomils</t>
        </is>
      </c>
      <c r="B8" s="23" t="inlineStr">
        <is>
          <t>the Bogomils</t>
        </is>
      </c>
      <c r="C8" s="23" t="inlineStr">
        <is>
          <t>Balkan dualist heresy, 10th c. onward</t>
        </is>
      </c>
      <c r="D8" s="23" t="inlineStr">
        <is>
          <t>real theological content, rejected the material church and its sacraments outright</t>
        </is>
      </c>
      <c r="E8" s="23" t="inlineStr">
        <is>
          <t>UNFINISHED BUSINESS -- flagged as a candidate 5th/6th sect during the pivot and never followed up</t>
        </is>
      </c>
      <c r="F8" s="23" t="inlineStr">
        <is>
          <t>a sixth theological voice, if five readings of the absence isn't already enough</t>
        </is>
      </c>
    </row>
    <row r="9" ht="35.05" customHeight="1" s="18">
      <c r="A9" s="23" t="inlineStr">
        <is>
          <t>ref_samuil</t>
        </is>
      </c>
      <c r="B9" s="23" t="inlineStr">
        <is>
          <t>Tsar Samuil</t>
        </is>
      </c>
      <c r="C9" s="23" t="inlineStr">
        <is>
          <t>Bulgarian Empire, 10th-11th c.</t>
        </is>
      </c>
      <c r="D9" s="23" t="inlineStr">
        <is>
          <t>Basil II blinded 15,000 captured soldiers and sent them home in cohorts of 99, each led by one sighted man -- Samuil reportedly collapsed and died at the sight of their return</t>
        </is>
      </c>
      <c r="E9" s="23" t="inlineStr">
        <is>
          <t>open</t>
        </is>
      </c>
      <c r="F9" s="23" t="inlineStr">
        <is>
          <t>the darkest available image on this list -- a paralogue could be built entirely around a wound this ugly, if the tone calls for it</t>
        </is>
      </c>
    </row>
    <row r="10" ht="35.05" customHeight="1" s="18">
      <c r="A10" s="23" t="inlineStr">
        <is>
          <t>ref_methodios</t>
        </is>
      </c>
      <c r="B10" s="23" t="inlineStr">
        <is>
          <t>Methodios (Cyril and Methodios)</t>
        </is>
      </c>
      <c r="C10" s="23" t="inlineStr">
        <is>
          <t>missionary brothers, 9th c.</t>
        </is>
      </c>
      <c r="D10" s="23" t="inlineStr">
        <is>
          <t>invented a script specifically to translate scripture for people who'd never had access to it in their own tongue</t>
        </is>
      </c>
      <c r="E10" s="23" t="inlineStr">
        <is>
          <t>ASSIGNED 8/21/26</t>
        </is>
      </c>
      <c r="F10" s="23" t="inlineStr">
        <is>
          <t>npc_methodios, the Hierophant's herald -- translating a claimant's volatility into a doctrine other people can hold is the same function one degree removed</t>
        </is>
      </c>
    </row>
    <row r="12" ht="15" customHeight="1" s="18">
      <c r="A12" s="25" t="inlineStr">
        <is>
          <t>DIRECT REFERENTIALITY, in the register FE3H used for the Fomorians (Cichol, Indech, Cethleann, Conand -- undisguised Irish myth names). This tab is deliberately a mixed bag: some entries are locked, most are marked 'open' on purpose, sitting here as material worth exploring rather than content waiting to be assigned. Add to this list freely -- it's a standing rabbit-hole log, not a closed catalogue.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2026-08-03T19:55:20Z</dcterms:created>
  <dcterms:modified xsi:type="dcterms:W3CDTF">2026-09-23T17:09:17Z</dcterms:modified>
  <cp:revision>0</cp:revision>
</cp:coreProperties>
</file>