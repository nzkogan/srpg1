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enums" sheetId="2" state="visible" r:id="rId2"/>
    <sheet name="sects" sheetId="3" state="visible" r:id="rId3"/>
    <sheet name="classes" sheetId="4" state="visible" r:id="rId4"/>
    <sheet name="growths" sheetId="5" state="visible" r:id="rId5"/>
    <sheet name="units" sheetId="6" state="visible" r:id="rId6"/>
    <sheet name="unit_base_stats" sheetId="7" state="visible" r:id="rId7"/>
    <sheet name="maps" sheetId="8" state="visible" r:id="rId8"/>
    <sheet name="enemy_archetypes" sheetId="9" state="visible" r:id="rId9"/>
    <sheet name="encounter_spawns" sheetId="10" state="visible" r:id="rId10"/>
    <sheet name="terrain_costs" sheetId="11" state="visible" r:id="rId11"/>
    <sheet name="chapters" sheetId="12" state="visible" r:id="rId12"/>
    <sheet name="epithets" sheetId="13" state="visible" r:id="rId13"/>
    <sheet name="deputy_ledger" sheetId="14" state="visible" r:id="rId14"/>
    <sheet name="npcs" sheetId="15" state="visible" r:id="rId15"/>
    <sheet name="scenes" sheetId="16" state="visible" r:id="rId16"/>
    <sheet name="validation" sheetId="17" state="visible" r:id="rId17"/>
    <sheet name="regions" sheetId="18" state="visible" r:id="rId18"/>
    <sheet name="named" sheetId="19" state="visible" r:id="rId19"/>
    <sheet name="states" sheetId="20" state="visible" r:id="rId20"/>
    <sheet name="defections" sheetId="21" state="visible" r:id="rId21"/>
    <sheet name="guest_units" sheetId="22" state="visible" r:id="rId22"/>
    <sheet name="locations" sheetId="23" state="visible" r:id="rId23"/>
    <sheet name="polities" sheetId="24" state="visible" r:id="rId24"/>
    <sheet name="settlements" sheetId="25" state="visible" r:id="rId25"/>
    <sheet name="eras" sheetId="26" state="visible" r:id="rId26"/>
    <sheet name="flashbacks" sheetId="27" state="visible" r:id="rId27"/>
    <sheet name="prologue_roster" sheetId="28" state="visible" r:id="rId28"/>
    <sheet name="prologue_structures" sheetId="29" state="visible" r:id="rId29"/>
    <sheet name="prologue_tuning" sheetId="30" state="visible" r:id="rId30"/>
    <sheet name="signs" sheetId="31" state="visible" r:id="rId31"/>
    <sheet name="calendar" sheetId="32" state="visible" r:id="rId32"/>
    <sheet name="practices" sheetId="33" state="visible" r:id="rId33"/>
    <sheet name="the_claimant" sheetId="34" state="visible" r:id="rId34"/>
    <sheet name="the_hierophant" sheetId="35" state="visible" r:id="rId35"/>
    <sheet name="roster_gaps" sheetId="36" state="visible" r:id="rId36"/>
    <sheet name="canon_flags" sheetId="37" state="visible" r:id="rId37"/>
    <sheet name="epilogue_generation" sheetId="38" state="visible" r:id="rId38"/>
    <sheet name="epilogue_text" sheetId="39" state="visible" r:id="rId39"/>
    <sheet name="weapons" sheetId="40" state="visible" r:id="rId40"/>
    <sheet name="forges" sheetId="41" state="visible" r:id="rId41"/>
    <sheet name="materials" sheetId="42" state="visible" r:id="rId42"/>
    <sheet name="christian_allegory" sheetId="43" state="visible" r:id="rId43"/>
    <sheet name="ascension_signals" sheetId="44" state="visible" r:id="rId44"/>
    <sheet name="endings" sheetId="45" state="visible" r:id="rId45"/>
    <sheet name="naming_reference" sheetId="46" state="visible" r:id="rId46"/>
    <sheet name="supports" sheetId="47" state="visible" r:id="rId47"/>
    <sheet name="promotion_rules" sheetId="48" state="visible" r:id="rId48"/>
    <sheet name="abilities" sheetId="49" state="visible" r:id="rId49"/>
    <sheet name="world_paths" sheetId="50" state="visible" r:id="rId50"/>
    <sheet name="cargo_units" sheetId="51" state="visible" r:id="rId5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b val="1"/>
      <color rgb="FFFFFFFF"/>
      <sz val="10"/>
    </font>
    <font>
      <name val="Arial"/>
      <charset val="1"/>
      <family val="0"/>
      <i val="1"/>
      <color rgb="FF595959"/>
      <sz val="9"/>
    </font>
    <font>
      <name val="Arial"/>
      <charset val="1"/>
      <family val="0"/>
      <color rgb="FF0000FF"/>
      <sz val="10"/>
    </font>
    <font>
      <name val="Arial"/>
      <charset val="1"/>
      <family val="0"/>
      <b val="1"/>
      <sz val="10"/>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6" fillId="2" borderId="1" applyAlignment="1" pivotButton="0" quotePrefix="0" xfId="0">
      <alignment horizontal="general" vertical="bottom"/>
    </xf>
    <xf numFmtId="0" fontId="6" fillId="2" borderId="1" applyAlignment="1" pivotButton="0" quotePrefix="0" xfId="0">
      <alignment horizontal="general" vertical="bottom"/>
    </xf>
    <xf numFmtId="0" fontId="5" fillId="0" borderId="1" applyAlignment="1" pivotButton="0" quotePrefix="0" xfId="0">
      <alignment horizontal="general" vertical="top" wrapText="1"/>
    </xf>
    <xf numFmtId="0" fontId="5" fillId="0" borderId="1" applyAlignment="1" pivotButton="0" quotePrefix="0" xfId="0">
      <alignment horizontal="general" vertical="bottom"/>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general" vertical="top" wrapText="1"/>
    </xf>
    <xf numFmtId="0" fontId="9" fillId="0" borderId="0"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5" fillId="3" borderId="1" applyAlignment="1" pivotButton="0" quotePrefix="0" xfId="0">
      <alignment horizontal="general" vertical="top" wrapText="1"/>
    </xf>
    <xf numFmtId="0" fontId="7"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6" fillId="2" borderId="1" applyAlignment="1" pivotButton="0" quotePrefix="0" xfId="0">
      <alignment horizontal="general" vertical="bottom"/>
    </xf>
    <xf numFmtId="0" fontId="5" fillId="0" borderId="1" applyAlignment="1" pivotButton="0" quotePrefix="0" xfId="0">
      <alignment horizontal="general" vertical="top" wrapText="1"/>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6" fillId="2" borderId="0" pivotButton="0" quotePrefix="0" xfId="0"/>
    <xf numFmtId="0" fontId="8" fillId="3" borderId="1" applyAlignment="1" pivotButton="0" quotePrefix="0" xfId="0">
      <alignment horizontal="general" vertical="top" wrapText="1"/>
    </xf>
    <xf numFmtId="0" fontId="9" fillId="0" borderId="0" applyAlignment="1" pivotButton="0" quotePrefix="0" xfId="0">
      <alignment horizontal="general" vertical="bottom"/>
    </xf>
    <xf numFmtId="0" fontId="9" fillId="3" borderId="0" applyAlignment="1" pivotButton="0" quotePrefix="0" xfId="0">
      <alignment horizontal="general" vertical="bottom"/>
    </xf>
    <xf numFmtId="0" fontId="5" fillId="3" borderId="1" applyAlignment="1" pivotButton="0" quotePrefix="0" xfId="0">
      <alignment horizontal="general" vertical="top" wrapText="1"/>
    </xf>
    <xf numFmtId="0" fontId="7" fillId="0" borderId="0" applyAlignment="1" pivotButton="0" quotePrefix="0" xfId="0">
      <alignment horizontal="general" vertical="bottom" wrapText="1"/>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5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1" ht="15" customHeight="1" s="18">
      <c r="A1" s="19" t="inlineStr">
        <is>
          <t>FODLAN CANON MASTER DATA</t>
        </is>
      </c>
    </row>
    <row r="2" ht="15" customHeight="1" s="18">
      <c r="A2" s="20" t="n"/>
    </row>
    <row r="3" ht="15" customHeight="1" s="18">
      <c r="A3" s="20" t="inlineStr">
        <is>
          <t>What this is: the source of truth for the sequel. Prose is generated FROM this, never the reverse.</t>
        </is>
      </c>
    </row>
    <row r="4" ht="15" customHeight="1" s="18">
      <c r="A4" s="20" t="inlineStr">
        <is>
          <t>If a name, place, class, or unit is not in here, it does not exist yet.</t>
        </is>
      </c>
    </row>
    <row r="5" ht="15" customHeight="1" s="18">
      <c r="A5" s="20" t="n"/>
    </row>
    <row r="6" ht="15" customHeight="1" s="18">
      <c r="A6" s="19" t="inlineStr">
        <is>
          <t>HOW TO USE</t>
        </is>
      </c>
    </row>
    <row r="7" ht="15" customHeight="1" s="18">
      <c r="A7" s="20" t="inlineStr">
        <is>
          <t>1. Add entities by row. Every row needs an ID in the first column. IDs never change once written.</t>
        </is>
      </c>
    </row>
    <row r="8" ht="15" customHeight="1" s="18">
      <c r="A8" s="20" t="inlineStr">
        <is>
          <t>2. Enum-typed columns must draw from the enums tab. Add the value there first.</t>
        </is>
      </c>
    </row>
    <row r="9" ht="15" customHeight="1" s="18">
      <c r="A9" s="20" t="inlineStr">
        <is>
          <t>3. Multi-valued cells are pipe-delimited text (u_jost|u_tancred). No multi-selects, ever.</t>
        </is>
      </c>
    </row>
    <row r="10" ht="15" customHeight="1" s="18">
      <c r="A10" s="20" t="inlineStr">
        <is>
          <t>4. The validation tab is live: any blocking count above zero means something dangles.</t>
        </is>
      </c>
    </row>
    <row r="11" ht="15" customHeight="1" s="18">
      <c r="A11" s="20" t="inlineStr">
        <is>
          <t>5. Run canon_validate.py for the checks a formula cannot express.</t>
        </is>
      </c>
    </row>
    <row r="12" ht="15" customHeight="1" s="18">
      <c r="A12" s="20" t="n"/>
    </row>
    <row r="13" ht="15" customHeight="1" s="18">
      <c r="A13" s="19" t="inlineStr">
        <is>
          <t>THE COHERENCE CONTRACT</t>
        </is>
      </c>
    </row>
    <row r="14" ht="15" customHeight="1" s="18">
      <c r="A14" s="20" t="inlineStr">
        <is>
          <t>Every generated scene gets a row on the scenes tab declaring which chapter it belongs to,</t>
        </is>
      </c>
    </row>
    <row r="15" ht="15" customHeight="1" s="18">
      <c r="A15" s="20" t="inlineStr">
        <is>
          <t>which units speak, and which canon flags it branches on. A scene that names a unit who has not</t>
        </is>
      </c>
    </row>
    <row r="16" ht="15" customHeight="1" s="18">
      <c r="A16" s="20" t="inlineStr">
        <is>
          <t>joined by that chapter is a validator failure, not a judgment call.</t>
        </is>
      </c>
    </row>
    <row r="17" ht="15" customHeight="1" s="18">
      <c r="A17" s="20" t="n"/>
    </row>
    <row r="18" ht="15" customHeight="1" s="18">
      <c r="A18" s="19" t="inlineStr">
        <is>
          <t>DIVISION OF LABOR</t>
        </is>
      </c>
    </row>
    <row r="19" ht="15" customHeight="1" s="18">
      <c r="A19" s="20" t="inlineStr">
        <is>
          <t>You decide: which sect grows the Enlightened One, who the Venerated candidates are, what each</t>
        </is>
      </c>
    </row>
    <row r="20" ht="15" customHeight="1" s="18">
      <c r="A20" s="20" t="inlineStr">
        <is>
          <t>map's objective verb is, the tone of the epilogue cards. Anything where two options are both</t>
        </is>
      </c>
    </row>
    <row r="21" ht="15" customHeight="1" s="18">
      <c r="A21" s="20" t="inlineStr">
        <is>
          <t>coherent and the choice reveals taste.</t>
        </is>
      </c>
    </row>
    <row r="22" ht="15" customHeight="1" s="18">
      <c r="A22" s="20" t="inlineStr">
        <is>
          <t>Generated: scene drafts against a one-line spec, enemy rosters, tile data, forge name</t>
        </is>
      </c>
    </row>
    <row r="23" ht="15" customHeight="1" s="18">
      <c r="A23" s="20" t="inlineStr">
        <is>
          <t>permutations, epithet vocabulary, paralogue flavor, item text, and all code.</t>
        </is>
      </c>
    </row>
    <row r="24" ht="15" customHeight="1" s="18">
      <c r="A24" s="20" t="n"/>
    </row>
    <row r="25" ht="15" customHeight="1" s="18">
      <c r="A25" s="19" t="inlineStr">
        <is>
          <t>TAB INDEX</t>
        </is>
      </c>
    </row>
    <row r="26" ht="15" customHeight="1" s="18">
      <c r="A26" s="20" t="inlineStr">
        <is>
          <t>enums, sects, classes, growths, units, maps, chapters, epithets, deputy_ledger, npcs,</t>
        </is>
      </c>
    </row>
    <row r="27" ht="15" customHeight="1" s="18">
      <c r="A27" s="20" t="inlineStr">
        <is>
          <t>canon_flags, scenes, validation</t>
        </is>
      </c>
    </row>
    <row r="28" ht="15" customHeight="1" s="18">
      <c r="A28" s="20" t="n"/>
    </row>
    <row r="29" ht="15" customHeight="1" s="18">
      <c r="A29" s="20" t="inlineStr">
        <is>
          <t>Yellow cells are levers you are expected to tune. Blue text is hardcoded input.</t>
        </is>
      </c>
    </row>
    <row r="30" ht="15" customHeight="1" s="18">
      <c r="A30" s="20" t="inlineStr">
        <is>
          <t>Seeded 2026-08-03 from the design corpus to date. Counts are deliberately incomplete:</t>
        </is>
      </c>
    </row>
    <row r="31" ht="15" customHeight="1" s="18">
      <c r="A31" s="20" t="inlineStr">
        <is>
          <t>14 of 24-28 recruitables, 8 of 30 chapters. The empty rows are the project.</t>
        </is>
      </c>
    </row>
    <row r="33" ht="15" customHeight="1" s="18">
      <c r="A33" s="19" t="inlineStr">
        <is>
          <t>PACING CONTRACT</t>
        </is>
      </c>
    </row>
    <row r="34" ht="15" customHeight="1" s="18">
      <c r="A34" s="20" t="inlineStr">
        <is>
          <t>Calm is scheduled, not optional. Besaid and Balamb Garden are not side content -- the game</t>
        </is>
      </c>
    </row>
    <row r="35" ht="15" customHeight="1" s="18">
      <c r="A35" s="20" t="inlineStr">
        <is>
          <t>routes you through them. Every chapter carries a tonal_register, and the validator counts</t>
        </is>
      </c>
    </row>
    <row r="36" ht="15" customHeight="1" s="18">
      <c r="A36" s="20" t="inlineStr">
        <is>
          <t>them: one warm or wondrous chapter in every four, and never three heavy chapters in a row.</t>
        </is>
      </c>
    </row>
    <row r="37" ht="15" customHeight="1" s="18">
      <c r="A37" s="20" t="inlineStr">
        <is>
          <t>A warm chapter is still a battle. The warmth is in what the map is ABOUT, not in its absence.</t>
        </is>
      </c>
    </row>
    <row r="38" ht="15" customHeight="1" s="18">
      <c r="A38" s="20" t="n"/>
    </row>
    <row r="39" ht="15" customHeight="1" s="18">
      <c r="A39" s="19" t="inlineStr">
        <is>
          <t>VISUAL REGISTER</t>
        </is>
      </c>
    </row>
    <row r="40" ht="15" customHeight="1" s="18">
      <c r="A40" s="20" t="inlineStr">
        <is>
          <t>Namibia and Moebius: vast, legible, sunlit emptiness. Hard noon light, mineral color, deep</t>
        </is>
      </c>
    </row>
    <row r="41" ht="15" customHeight="1" s="18">
      <c r="A41" s="20" t="inlineStr">
        <is>
          <t>horizons, a single figure readable at distance. NOT gothic gloom, NOT brown stone and candles.</t>
        </is>
      </c>
    </row>
    <row r="42" ht="15" customHeight="1" s="18">
      <c r="A42" s="20" t="inlineStr">
        <is>
          <t>The Glass Flats under a white sky at noon should be beautiful before they are ominous.</t>
        </is>
      </c>
    </row>
    <row r="43" ht="15" customHeight="1" s="18">
      <c r="A43" s="20" t="n"/>
    </row>
    <row r="44" ht="15" customHeight="1" s="18">
      <c r="A44" s="19" t="inlineStr">
        <is>
          <t>GEOGRAPHY DISCIPLINE</t>
        </is>
      </c>
    </row>
    <row r="45" ht="15" customHeight="1" s="18">
      <c r="A45" s="20" t="inlineStr">
        <is>
          <t>The center is antique; the fringes are current. Learning moved east and came back translated.</t>
        </is>
      </c>
    </row>
    <row r="46" ht="15" customHeight="1" s="18">
      <c r="A46" s="20" t="inlineStr">
        <is>
          <t>Every scar supports at least two incompatible explanations and the game confirms none of them.</t>
        </is>
      </c>
    </row>
    <row r="48" ht="15" customHeight="1" s="18">
      <c r="A48" s="19" t="inlineStr">
        <is>
          <t>MAP LAWS (from diagnosed the prior age failures)</t>
        </is>
      </c>
    </row>
    <row r="49" ht="15" customHeight="1" s="18">
      <c r="A49" s="20" t="inlineStr">
        <is>
          <t>1. Every reinforcement has an address. Dens are visible and ideally capturable; taking one</t>
        </is>
      </c>
    </row>
    <row r="50" ht="15" customHeight="1" s="18">
      <c r="A50" s="20" t="inlineStr">
        <is>
          <t xml:space="preserve">   stops it producing. Nothing spawns inside the reach of a unit who could not have seen it.</t>
        </is>
      </c>
    </row>
    <row r="51" ht="15" customHeight="1" s="18">
      <c r="A51" s="20" t="inlineStr">
        <is>
          <t>2. No single unit solves a map. Objectives are non-atomic, so preparation stays half the game.</t>
        </is>
      </c>
    </row>
    <row r="52" ht="15" customHeight="1" s="18">
      <c r="A52" s="20" t="inlineStr">
        <is>
          <t>3. A set-piece boss is unreachable for N turns, for a reason visible on the map. Taltian Plains</t>
        </is>
      </c>
    </row>
    <row r="53" ht="15" customHeight="1" s="18">
      <c r="A53" s="20" t="inlineStr">
        <is>
          <t xml:space="preserve">   fails because the penultimate drama resolves on turn one.</t>
        </is>
      </c>
    </row>
    <row r="54" ht="15" customHeight="1" s="18">
      <c r="A54" s="20" t="inlineStr">
        <is>
          <t>4. Forced deploys are budgeted and named. Hunting by Daybreak forces bodies without forcing use,</t>
        </is>
      </c>
    </row>
    <row r="55" ht="15" customHeight="1" s="18">
      <c r="A55" s="20" t="inlineStr">
        <is>
          <t xml:space="preserve">   so the optimal play is parking them in a corner. Diversity is rewarded, never mandated:</t>
        </is>
      </c>
    </row>
    <row r="56" ht="15" customHeight="1" s="18">
      <c r="A56" s="20" t="inlineStr">
        <is>
          <t xml:space="preserve">   every map offers at least two approaches favouring different movement types.</t>
        </is>
      </c>
    </row>
    <row r="57" ht="15" customHeight="1" s="18">
      <c r="A57" s="20" t="n"/>
    </row>
    <row r="58" ht="15" customHeight="1" s="18">
      <c r="A58" s="20" t="inlineStr">
        <is>
          <t>The two-compositions test is a MEASUREMENT, not an opinion. Every map must be beatable by at</t>
        </is>
      </c>
    </row>
    <row r="59" ht="15" customHeight="1" s="18">
      <c r="A59" s="20" t="inlineStr">
        <is>
          <t>least two meaningfully different armies. That is what the sim harness is for.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1"/>
    <col width="16" customWidth="1" style="17" min="12" max="13"/>
    <col width="20" customWidth="1" style="17" min="14" max="14"/>
    <col width="16" customWidth="1" style="17" min="15" max="16"/>
  </cols>
  <sheetData>
    <row r="1" ht="30" customHeight="1" s="18">
      <c r="A1" s="21" t="inlineStr">
        <is>
          <t>route</t>
        </is>
      </c>
      <c r="B1" s="21" t="inlineStr">
        <is>
          <t>act</t>
        </is>
      </c>
      <c r="C1" s="21" t="inlineStr">
        <is>
          <t>column</t>
        </is>
      </c>
      <c r="D1" s="21" t="inlineStr">
        <is>
          <t>art</t>
        </is>
      </c>
      <c r="E1" s="21" t="inlineStr">
        <is>
          <t>movement</t>
        </is>
      </c>
      <c r="F1" s="21" t="inlineStr">
        <is>
          <t>class_tier</t>
        </is>
      </c>
      <c r="G1" s="21" t="inlineStr">
        <is>
          <t>objective_verb</t>
        </is>
      </c>
      <c r="H1" s="21" t="inlineStr">
        <is>
          <t>sect_id</t>
        </is>
      </c>
      <c r="I1" s="21" t="inlineStr">
        <is>
          <t>unit_status</t>
        </is>
      </c>
      <c r="J1" s="21" t="inlineStr">
        <is>
          <t>deed_category</t>
        </is>
      </c>
      <c r="K1" s="21" t="inlineStr">
        <is>
          <t>severity</t>
        </is>
      </c>
      <c r="L1" s="22" t="inlineStr">
        <is>
          <t>tonal_register</t>
        </is>
      </c>
      <c r="M1" s="22" t="inlineStr">
        <is>
          <t>direction</t>
        </is>
      </c>
      <c r="N1" s="22" t="inlineStr">
        <is>
          <t>reinforcement_source</t>
        </is>
      </c>
      <c r="O1" s="22" t="inlineStr">
        <is>
          <t>killed_by_type</t>
        </is>
      </c>
      <c r="P1" s="22" t="inlineStr">
        <is>
          <t>killed_by_type</t>
        </is>
      </c>
    </row>
    <row r="2" ht="15" customHeight="1" s="18">
      <c r="A2" s="23" t="inlineStr">
        <is>
          <t>diadem</t>
        </is>
      </c>
      <c r="B2" s="23" t="inlineStr">
        <is>
          <t>prologue</t>
        </is>
      </c>
      <c r="C2" s="23" t="inlineStr">
        <is>
          <t>unified</t>
        </is>
      </c>
      <c r="D2" s="23" t="inlineStr">
        <is>
          <t>sword</t>
        </is>
      </c>
      <c r="E2" s="23" t="inlineStr">
        <is>
          <t>infantry</t>
        </is>
      </c>
      <c r="F2" s="23" t="inlineStr">
        <is>
          <t>commoner</t>
        </is>
      </c>
      <c r="G2" s="23" t="inlineStr">
        <is>
          <t>seize</t>
        </is>
      </c>
      <c r="H2" s="23" t="inlineStr">
        <is>
          <t>sect_vashti</t>
        </is>
      </c>
      <c r="I2" s="23" t="inlineStr">
        <is>
          <t>recruitable</t>
        </is>
      </c>
      <c r="J2" s="23" t="inlineStr">
        <is>
          <t>boss_kill</t>
        </is>
      </c>
      <c r="K2" s="23" t="inlineStr">
        <is>
          <t>blocking</t>
        </is>
      </c>
      <c r="L2" s="24" t="inlineStr">
        <is>
          <t>warm</t>
        </is>
      </c>
      <c r="M2" s="24" t="inlineStr">
        <is>
          <t>center</t>
        </is>
      </c>
      <c r="N2" s="24" t="inlineStr">
        <is>
          <t>none</t>
        </is>
      </c>
      <c r="O2" s="24" t="inlineStr">
        <is>
          <t>polity</t>
        </is>
      </c>
      <c r="P2" s="24" t="inlineStr">
        <is>
          <t>polity</t>
        </is>
      </c>
    </row>
    <row r="3" ht="15" customHeight="1" s="18">
      <c r="A3" s="23" t="inlineStr">
        <is>
          <t>assembly</t>
        </is>
      </c>
      <c r="B3" s="23" t="inlineStr">
        <is>
          <t>1</t>
        </is>
      </c>
      <c r="C3" s="23" t="inlineStr">
        <is>
          <t>A</t>
        </is>
      </c>
      <c r="D3" s="23" t="inlineStr">
        <is>
          <t>lance</t>
        </is>
      </c>
      <c r="E3" s="23" t="inlineStr">
        <is>
          <t>armor</t>
        </is>
      </c>
      <c r="F3" s="23" t="inlineStr">
        <is>
          <t>trained</t>
        </is>
      </c>
      <c r="G3" s="23" t="inlineStr">
        <is>
          <t>hold</t>
        </is>
      </c>
      <c r="H3" s="23" t="inlineStr">
        <is>
          <t>sect_march</t>
        </is>
      </c>
      <c r="I3" s="23" t="inlineStr">
        <is>
          <t>jagen</t>
        </is>
      </c>
      <c r="J3" s="23" t="inlineStr">
        <is>
          <t>solo_hold</t>
        </is>
      </c>
      <c r="K3" s="23" t="inlineStr">
        <is>
          <t>warning</t>
        </is>
      </c>
      <c r="L3" s="24" t="inlineStr">
        <is>
          <t>wondrous</t>
        </is>
      </c>
      <c r="M3" s="24" t="inlineStr">
        <is>
          <t>north</t>
        </is>
      </c>
      <c r="N3" s="24" t="inlineStr">
        <is>
          <t>den</t>
        </is>
      </c>
      <c r="O3" s="24" t="inlineStr">
        <is>
          <t>named_creature</t>
        </is>
      </c>
      <c r="P3" s="24" t="inlineStr">
        <is>
          <t>named_creature</t>
        </is>
      </c>
    </row>
    <row r="4" ht="15" customHeight="1" s="18">
      <c r="A4" s="23" t="inlineStr">
        <is>
          <t>both</t>
        </is>
      </c>
      <c r="B4" s="23" t="inlineStr">
        <is>
          <t>2</t>
        </is>
      </c>
      <c r="C4" s="23" t="inlineStr">
        <is>
          <t>B</t>
        </is>
      </c>
      <c r="D4" s="23" t="inlineStr">
        <is>
          <t>axe</t>
        </is>
      </c>
      <c r="E4" s="23" t="inlineStr">
        <is>
          <t>riding</t>
        </is>
      </c>
      <c r="F4" s="23" t="inlineStr">
        <is>
          <t>order</t>
        </is>
      </c>
      <c r="G4" s="23" t="inlineStr">
        <is>
          <t>escort</t>
        </is>
      </c>
      <c r="H4" s="23" t="inlineStr">
        <is>
          <t>sect_road</t>
        </is>
      </c>
      <c r="I4" s="23" t="inlineStr">
        <is>
          <t>legacy</t>
        </is>
      </c>
      <c r="J4" s="23" t="inlineStr">
        <is>
          <t>no_hit_map</t>
        </is>
      </c>
      <c r="K4" s="23" t="inlineStr">
        <is>
          <t>info</t>
        </is>
      </c>
      <c r="L4" s="24" t="inlineStr">
        <is>
          <t>cold</t>
        </is>
      </c>
      <c r="M4" s="24" t="inlineStr">
        <is>
          <t>east</t>
        </is>
      </c>
      <c r="N4" s="24" t="inlineStr">
        <is>
          <t>scripted_visible</t>
        </is>
      </c>
      <c r="O4" s="24" t="inlineStr">
        <is>
          <t>defector</t>
        </is>
      </c>
      <c r="P4" s="24" t="inlineStr">
        <is>
          <t>defector</t>
        </is>
      </c>
    </row>
    <row r="5" ht="15" customHeight="1" s="18">
      <c r="A5" s="23" t="n"/>
      <c r="B5" s="23" t="inlineStr">
        <is>
          <t>3</t>
        </is>
      </c>
      <c r="C5" s="23" t="n"/>
      <c r="D5" s="23" t="inlineStr">
        <is>
          <t>bow</t>
        </is>
      </c>
      <c r="E5" s="23" t="inlineStr">
        <is>
          <t>flying</t>
        </is>
      </c>
      <c r="F5" s="23" t="inlineStr">
        <is>
          <t>paragon</t>
        </is>
      </c>
      <c r="G5" s="23" t="inlineStr">
        <is>
          <t>defend</t>
        </is>
      </c>
      <c r="H5" s="23" t="inlineStr">
        <is>
          <t>sect_court</t>
        </is>
      </c>
      <c r="I5" s="23" t="inlineStr">
        <is>
          <t>npc</t>
        </is>
      </c>
      <c r="J5" s="23" t="inlineStr">
        <is>
          <t>miasma_walked</t>
        </is>
      </c>
      <c r="K5" s="23" t="n"/>
      <c r="L5" s="24" t="inlineStr">
        <is>
          <t>grim</t>
        </is>
      </c>
      <c r="M5" s="24" t="inlineStr">
        <is>
          <t>southeast</t>
        </is>
      </c>
      <c r="O5" s="24" t="inlineStr">
        <is>
          <t>boss</t>
        </is>
      </c>
      <c r="P5" s="24" t="inlineStr">
        <is>
          <t>boss</t>
        </is>
      </c>
    </row>
    <row r="6" ht="15" customHeight="1" s="18">
      <c r="A6" s="23" t="n"/>
      <c r="B6" s="23" t="inlineStr">
        <is>
          <t>paralogue</t>
        </is>
      </c>
      <c r="C6" s="23" t="n"/>
      <c r="D6" s="23" t="inlineStr">
        <is>
          <t>brawl</t>
        </is>
      </c>
      <c r="E6" s="23" t="n"/>
      <c r="F6" s="23" t="inlineStr">
        <is>
          <t>shadow</t>
        </is>
      </c>
      <c r="G6" s="23" t="inlineStr">
        <is>
          <t>escape</t>
        </is>
      </c>
      <c r="H6" s="23" t="inlineStr">
        <is>
          <t>sect_coast</t>
        </is>
      </c>
      <c r="I6" s="23" t="inlineStr">
        <is>
          <t>boss</t>
        </is>
      </c>
      <c r="J6" s="23" t="inlineStr">
        <is>
          <t>delivery</t>
        </is>
      </c>
      <c r="K6" s="23" t="n"/>
      <c r="L6" s="24" t="inlineStr">
        <is>
          <t>desolate</t>
        </is>
      </c>
      <c r="M6" s="24" t="inlineStr">
        <is>
          <t>west</t>
        </is>
      </c>
      <c r="O6" s="24" t="inlineStr">
        <is>
          <t>unknown</t>
        </is>
      </c>
      <c r="P6" s="24" t="inlineStr">
        <is>
          <t>unknown</t>
        </is>
      </c>
    </row>
    <row r="7" ht="15" customHeight="1" s="18">
      <c r="A7" s="23" t="n"/>
      <c r="B7" s="23" t="n"/>
      <c r="C7" s="23" t="n"/>
      <c r="D7" s="23" t="inlineStr">
        <is>
          <t>reason</t>
        </is>
      </c>
      <c r="E7" s="23" t="n"/>
      <c r="F7" s="23" t="inlineStr">
        <is>
          <t>personal</t>
        </is>
      </c>
      <c r="G7" s="23" t="inlineStr">
        <is>
          <t>rout</t>
        </is>
      </c>
      <c r="H7" s="23" t="n"/>
      <c r="I7" s="23" t="n"/>
      <c r="J7" s="23" t="inlineStr">
        <is>
          <t>dispersal</t>
        </is>
      </c>
      <c r="K7" s="23" t="n"/>
      <c r="L7" s="24" t="inlineStr">
        <is>
          <t>triumphal</t>
        </is>
      </c>
      <c r="O7" s="17" t="inlineStr">
        <is>
          <t>band</t>
        </is>
      </c>
      <c r="P7" s="17" t="inlineStr">
        <is>
          <t>band</t>
        </is>
      </c>
    </row>
    <row r="8" ht="15" customHeight="1" s="18">
      <c r="A8" s="23" t="n"/>
      <c r="B8" s="23" t="n"/>
      <c r="C8" s="23" t="n"/>
      <c r="D8" s="23" t="inlineStr">
        <is>
          <t>faith</t>
        </is>
      </c>
      <c r="E8" s="23" t="n"/>
      <c r="F8" s="23" t="inlineStr">
        <is>
          <t>hybrid</t>
        </is>
      </c>
      <c r="G8" s="23" t="inlineStr">
        <is>
          <t>purchase</t>
        </is>
      </c>
      <c r="H8" s="23" t="n"/>
      <c r="I8" s="23" t="n"/>
      <c r="J8" s="23" t="inlineStr">
        <is>
          <t>talk</t>
        </is>
      </c>
      <c r="K8" s="23" t="n"/>
      <c r="L8" s="24" t="inlineStr">
        <is>
          <t>elegiac</t>
        </is>
      </c>
      <c r="O8" s="17" t="inlineStr">
        <is>
          <t>hazard</t>
        </is>
      </c>
      <c r="P8" s="17" t="inlineStr">
        <is>
          <t>hazard</t>
        </is>
      </c>
    </row>
    <row r="9" ht="15" customHeight="1" s="18">
      <c r="A9" s="23" t="n"/>
      <c r="B9" s="23" t="n"/>
      <c r="C9" s="23" t="n"/>
      <c r="D9" s="23" t="inlineStr">
        <is>
          <t>authority</t>
        </is>
      </c>
      <c r="E9" s="23" t="n"/>
      <c r="F9" s="23" t="n"/>
      <c r="G9" s="23" t="inlineStr">
        <is>
          <t>survive</t>
        </is>
      </c>
      <c r="H9" s="23" t="n"/>
      <c r="I9" s="23" t="n"/>
      <c r="J9" s="23" t="inlineStr">
        <is>
          <t>capture</t>
        </is>
      </c>
      <c r="K9" s="23" t="n"/>
      <c r="L9" s="24" t="inlineStr">
        <is>
          <t>solemn</t>
        </is>
      </c>
    </row>
    <row r="10" ht="15" customHeight="1" s="18">
      <c r="A10" s="23" t="n"/>
      <c r="B10" s="23" t="n"/>
      <c r="C10" s="23" t="n"/>
      <c r="D10" s="23" t="inlineStr">
        <is>
          <t>none</t>
        </is>
      </c>
      <c r="E10" s="23" t="n"/>
      <c r="F10" s="23" t="n"/>
      <c r="G10" s="23" t="n"/>
      <c r="H10" s="23" t="n"/>
      <c r="I10" s="23" t="n"/>
      <c r="J10" s="23" t="inlineStr">
        <is>
          <t>unseen_clear</t>
        </is>
      </c>
      <c r="K10" s="23" t="n"/>
      <c r="L10" s="24" t="inlineStr">
        <is>
          <t>tense</t>
        </is>
      </c>
    </row>
    <row r="11" ht="15" customHeight="1" s="18">
      <c r="A11" s="23" t="n"/>
      <c r="B11" s="23" t="n"/>
      <c r="C11" s="23" t="n"/>
      <c r="D11" s="23" t="n"/>
      <c r="E11" s="23" t="n"/>
      <c r="F11" s="23" t="n"/>
      <c r="G11" s="23" t="n"/>
      <c r="H11" s="23" t="n"/>
      <c r="I11" s="23" t="n"/>
      <c r="J11" s="23" t="inlineStr">
        <is>
          <t>chest</t>
        </is>
      </c>
      <c r="K11" s="23" t="n"/>
      <c r="L11" s="24" t="inlineStr">
        <is>
          <t>eerie</t>
        </is>
      </c>
    </row>
    <row r="12">
      <c r="L12" s="24" t="inlineStr">
        <is>
          <t>uneasy</t>
        </is>
      </c>
    </row>
    <row r="13" ht="15" customHeight="1" s="18">
      <c r="A13" s="25" t="inlineStr">
        <is>
          <t>Controlled vocabulary. Every enum-typed column in this workbook must draw from here. Add a value here first, then use it. Never invent one inline.</t>
        </is>
      </c>
      <c r="L13" s="24" t="inlineStr">
        <is>
          <t>ambivalent</t>
        </is>
      </c>
    </row>
    <row r="14">
      <c r="L14" s="24" t="inlineStr">
        <is>
          <t>strange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24" customWidth="1" style="17" min="2" max="2"/>
    <col width="16" customWidth="1" style="17" min="3" max="3"/>
    <col width="12" customWidth="1" style="17" min="4" max="4"/>
    <col width="20" customWidth="1" style="17" min="5" max="5"/>
    <col width="34" customWidth="1" style="17" min="6" max="6"/>
    <col width="38" customWidth="1" style="17" min="7" max="7"/>
    <col width="10" customWidth="1" style="17" min="8" max="8"/>
    <col width="12" customWidth="1" style="17" min="9" max="9"/>
    <col width="34" customWidth="1" style="17" min="10" max="10"/>
  </cols>
  <sheetData>
    <row r="1" ht="30" customHeight="1" s="18">
      <c r="A1" s="21" t="inlineStr">
        <is>
          <t>sect_id</t>
        </is>
      </c>
      <c r="B1" s="21" t="inlineStr">
        <is>
          <t>self_title</t>
        </is>
      </c>
      <c r="C1" s="21" t="inlineStr">
        <is>
          <t>common_name</t>
        </is>
      </c>
      <c r="D1" s="21" t="inlineStr">
        <is>
          <t>slur</t>
        </is>
      </c>
      <c r="E1" s="21" t="inlineStr">
        <is>
          <t>seat</t>
        </is>
      </c>
      <c r="F1" s="21" t="inlineStr">
        <is>
          <t>wound</t>
        </is>
      </c>
      <c r="G1" s="21" t="inlineStr">
        <is>
          <t>doctrine</t>
        </is>
      </c>
      <c r="H1" s="21" t="inlineStr">
        <is>
          <t>route</t>
        </is>
      </c>
      <c r="I1" s="21" t="inlineStr">
        <is>
          <t>act2_chapter_count</t>
        </is>
      </c>
      <c r="J1" s="21" t="inlineStr">
        <is>
          <t>notes</t>
        </is>
      </c>
    </row>
    <row r="2" ht="23.25" customHeight="1" s="18">
      <c r="A2" s="23" t="inlineStr">
        <is>
          <t>sect_vashti</t>
        </is>
      </c>
      <c r="B2" s="23" t="inlineStr">
        <is>
          <t>the Unstained</t>
        </is>
      </c>
      <c r="C2" s="23" t="inlineStr">
        <is>
          <t>Vashti men</t>
        </is>
      </c>
      <c r="D2" s="23" t="inlineStr">
        <is>
          <t>washers</t>
        </is>
      </c>
      <c r="E2" s="23" t="inlineStr">
        <is>
          <t>Vashti, in the Ashland</t>
        </is>
      </c>
      <c r="F2" s="23" t="inlineStr">
        <is>
          <t>collaboration: lords who hosted the experiments still hold office</t>
        </is>
      </c>
      <c r="G2" s="23" t="inlineStr">
        <is>
          <t>sacraments from complicit hands are void; the veneration must be re-made clean</t>
        </is>
      </c>
      <c r="H2" s="23" t="inlineStr">
        <is>
          <t>diadem</t>
        </is>
      </c>
      <c r="I2" s="23" t="n">
        <v>2</v>
      </c>
      <c r="J2" s="23" t="inlineStr">
        <is>
          <t>no talk conversations available on their seat map ADDENDUM (2026-09-24): ch_p_karkadann / map_p_karkadann is this sect's paralogue -- locations.loc_dove_colony and named.nmd_karkadann, both region_id=rgn_ashland, already confirmed claimed_by_sect_id=sect_vashti. rgn_ashland's other paralogue-tagged location, loc_buried_works, is a separate, not-yet-built paralogue (records/complicit clerks, not a Named creature) -- this sect's declared paralogue set is not yet complete. ADDENDUM 2 (2026-09-24): ch_p_buried_works / map_p_buried_works is this sect's second paralogue -- locations.loc_buried_works, region_id=rgn_ashland, no Named creature involved, grounded instead directly in this sect's own wound and doctrine. This sect's declared paralogue set is now complete: the Karkadann and the Buried Works. With this chapter, every sect's declared paralogue set (per every locations row tagged chapters='P' in canon.xlsx) is built: sect_coast (Indech, the Shadhavar), sect_march (Macuil, the Simurgh), sect_road (Anzu, the Huma), sect_vashti (the Karkadann, the Buried Works).</t>
        </is>
      </c>
    </row>
    <row r="3" ht="23.25" customHeight="1" s="18">
      <c r="A3" s="23" t="inlineStr">
        <is>
          <t>sect_march</t>
        </is>
      </c>
      <c r="B3" s="23" t="inlineStr">
        <is>
          <t>the Continuing Word</t>
        </is>
      </c>
      <c r="C3" s="23" t="inlineStr">
        <is>
          <t>March voices</t>
        </is>
      </c>
      <c r="D3" s="23" t="inlineStr">
        <is>
          <t>criers</t>
        </is>
      </c>
      <c r="E3" s="23" t="inlineStr">
        <is>
          <t>the Drowned March</t>
        </is>
      </c>
      <c r="F3" s="23" t="inlineStr">
        <is>
          <t>plague and the last hierarch's silence</t>
        </is>
      </c>
      <c r="G3" s="23" t="inlineStr">
        <is>
          <t>RESTORATIONIST: everything was lost and has now been given back, whole, to a person nobody had heard of. Not a reform of the old church -- a replacement</t>
        </is>
      </c>
      <c r="H3" s="23" t="inlineStr">
        <is>
          <t>assembly</t>
        </is>
      </c>
      <c r="I3" s="23" t="n">
        <v>2</v>
      </c>
      <c r="J3" s="23" t="inlineStr">
        <is>
          <t>WILD COSMOLOGY, strange rather than spooky: the heavens are populated and the dead are busy; the stars are inhabited; the Venerated is one of many in a succession that continues, and the faithful are not going to a reward but to a POST. New scripture is still arriving, dictated, in progress -- chapters can be added between the player's Act 2 visits. The deposed patrons of the Hundred Cities are the planets: not destroyed by Sargath but ELEVATED, and the register is a misreading of a promotion (spectacularly wrong, and unfalsifiable). Translation runs through a physical instrument -- a stone, a bowl, a hat -- something ordinary the seer uses to read what is not there. They are rebaptising the dead by name off the parish lists, which puts the prophets and the crown's clerks in the same archive for opposite reasons. Prophecy NPCs convert green levies ADDENDUM: this is the sect the_hierophant tab resolves as the Hierophant movement's consolidation point (RESOLVED 2026-09-23) -- see that tab and endings.end_hierophant. ADDENDUM 2 (2026-09-24): ch_p_macuil / map_p_macuil is this sect's paralogue -- reassigned from an earlier, wrong sect_coast attribution; confirmed via locations.loc_north_wind (region_id=rgn_drowned_march, 'the second hermit; likewise refuses') matching the chapter's own title and that region's own 'north' direction. See ch_p_macuil's own corrected note for the full reasoning. ADDENDUM 3 (2026-09-24): ch_p_simurgh / map_p_simurgh is this sect's second paralogue -- locations.loc_simurgh_nest and named.nmd_simurgh, both region_id=rgn_drowned_march. This sect's declared paralogue set is now complete: every locations row tagged chapters='P' with region_id=rgn_drowned_march or rgn_the_shoulder (loc_north_wind, loc_simurgh_nest) has a built chapter.</t>
        </is>
      </c>
    </row>
    <row r="4" ht="23.25" customHeight="1" s="18">
      <c r="A4" s="23" t="inlineStr">
        <is>
          <t>sect_road</t>
        </is>
      </c>
      <c r="B4" s="23" t="inlineStr">
        <is>
          <t>the Company of the Road</t>
        </is>
      </c>
      <c r="C4" s="23" t="inlineStr">
        <is>
          <t>eastroaders</t>
        </is>
      </c>
      <c r="D4" s="23" t="inlineStr">
        <is>
          <t>factors</t>
        </is>
      </c>
      <c r="E4" s="23" t="inlineStr">
        <is>
          <t>the Throat (the Throat road)</t>
        </is>
      </c>
      <c r="F4" s="23" t="inlineStr">
        <is>
          <t>starvation: the caravan cities live on the road, and the war closed it; what saved them was a stranger extending credit to people who could not repay</t>
        </is>
      </c>
      <c r="G4" s="23" t="inlineStr">
        <is>
          <t>redemption is a purchase word -- to redeem is to buy back. Grace is credit extended to someone who cannot cover it, and the debt discharged by another. The god is met in exchange, on the road, not in buildings</t>
        </is>
      </c>
      <c r="H4" s="23" t="inlineStr">
        <is>
          <t>both</t>
        </is>
      </c>
      <c r="I4" s="23" t="n">
        <v>2</v>
      </c>
      <c r="J4" s="23" t="inlineStr">
        <is>
          <t>GROWS THE ENLIGHTENED ONE (canon). A CONFESSION, NOT A PEOPLE: you join it, anyone can, nobody is born a factor, and they recruit loudly in the open. They hold a sovereign state (the Toll League) with a seat and a treaty. Lending is universal in this world -- the Diadem crown lends, the Assembly borrows, the nobility is leveraged through pacts -- so credit is the water everyone swims in, not a marked group's trait. The historical analogue is Christian: the faith spread along trade routes carried by merchants, and Paul worked the port cities as a tentmaker. THE SECT THAT MARKETS TO THE SUFFERING: not 'endure now, reward later' but 'the payment has already been made, on your behalf, and you were not consulted' ADDENDUM (2026-09-24): ch_p_anzu / map_p_anzu is this sect's paralogue -- locations.loc_flats_interior and named.nmd_anzu, both region_id=rgn_glass_flats, already confirmed claimed_by_sect_id=sect_road. rgn_the_throat, this sect's other claimed region (seat of sect_road itself), has its own paralogue-tagged location (loc_open_road, the Huma) not yet built -- this sect's declared paralogue set is not yet complete. ADDENDUM 2 (2026-09-24): ch_p_huma / map_p_huma is this sect's second paralogue --locations.loc_open_road and named.nmd_huma, region_id=rgn_the_throat. This sect's declared paralogue set is now complete: Anzu and the Huma.</t>
        </is>
      </c>
    </row>
    <row r="5" ht="23.25" customHeight="1" s="18">
      <c r="A5" s="23" t="inlineStr">
        <is>
          <t>sect_court</t>
        </is>
      </c>
      <c r="B5" s="23" t="inlineStr">
        <is>
          <t>the Ordered / the King's Chapel</t>
        </is>
      </c>
      <c r="C5" s="23" t="inlineStr">
        <is>
          <t>the school / the chapel</t>
        </is>
      </c>
      <c r="D5" s="23" t="inlineStr">
        <is>
          <t>clerks</t>
        </is>
      </c>
      <c r="E5" s="23" t="inlineStr">
        <is>
          <t>Kaisareia / Vetch</t>
        </is>
      </c>
      <c r="F5" s="23" t="inlineStr">
        <is>
          <t>proximity to power</t>
        </is>
      </c>
      <c r="G5" s="23" t="inlineStr">
        <is>
          <t>made not begotten: emulate, do not worship; obedience belongs to the throne</t>
        </is>
      </c>
      <c r="H5" s="23" t="inlineStr">
        <is>
          <t>both</t>
        </is>
      </c>
      <c r="I5" s="23" t="n">
        <v>1</v>
      </c>
      <c r="J5" s="23" t="inlineStr">
        <is>
          <t>grows the Grand Inquisitor; home-front thread, ambushes at reunion ADDENDUM (2026-09-25): ch_k21/ch_k22 (map_k21/map_k22) are this sect's own Act3 content -- locations.loc_kaisareia_walls, region_id=rgn_center (already confirmed claimed_by_sect_id=sect_court), 'the capital as a battlefield'. This is the home-front thread's own climax, the same way ch_e31/e32 belong to sect_road and ch_h31-h34 belong to sect_march -- see ch_k21/ch_k22's own notes for the full reasoning, including an unresolved cross-reference to the 'colossus' motif ch_e32_perverse and the_hierophant also use. The Grand Inquisitor this sect 'grows' per its own notes is not confirmed anywhere to be embodied by, or even present at, this chapter's fight -- that identification is not made here.</t>
        </is>
      </c>
    </row>
    <row r="6" ht="23.25" customHeight="1" s="18">
      <c r="A6" s="23" t="inlineStr">
        <is>
          <t>sect_coast</t>
        </is>
      </c>
      <c r="B6" s="23" t="inlineStr">
        <is>
          <t>(refuses titles)</t>
        </is>
      </c>
      <c r="C6" s="23" t="inlineStr">
        <is>
          <t>the silent</t>
        </is>
      </c>
      <c r="D6" s="23" t="inlineStr">
        <is>
          <t>(none)</t>
        </is>
      </c>
      <c r="E6" s="23" t="inlineStr">
        <is>
          <t>the Stepped Coast</t>
        </is>
      </c>
      <c r="F6" s="23" t="inlineStr">
        <is>
          <t>they are closest to the truth and least interested in sharing it</t>
        </is>
      </c>
      <c r="G6" s="23" t="inlineStr">
        <is>
          <t>renunciation; refuse to adjudicate</t>
        </is>
      </c>
      <c r="H6" s="23" t="inlineStr">
        <is>
          <t>both</t>
        </is>
      </c>
      <c r="I6" s="23" t="n">
        <v>0</v>
      </c>
      <c r="J6" s="23" t="inlineStr">
        <is>
          <t>unreachable by writ; paralogue-only, dark in some runs ADDENDUM (2026-09-23): ch_p_indech / map_p_indech is this sect's paralogue -- confirmed via locations.loc_hermit_lake, polities.pol_isles, and settlements.set_pelagos (all region_id=rgn_stepped_coast). CORRECTION (2026-09-24): an earlier version of this note also claimed ch_p_macuil as this sect's paralogue -- that was wrong, a terrace-imagery coincidence in the wrong region; ch_p_macuil is sect_march's paralogue (see that chapter's own corrected note). ADDENDUM 2 (2026-09-24): ch_p_shadhavar / map_p_shadhavar is this sect's third paralogue -- locations.loc_lowest_terrace and named.nmd_shadhavar, both region_id=rgn_stepped_coast. This sect's declared paralogue set is now complete: every locations row tagged chapters='P' with region_id=rgn_stepped_coast (loc_hermit_lake, loc_lowest_terrace) has a built chapter.</t>
        </is>
      </c>
    </row>
    <row r="8" ht="15" customHeight="1" s="18">
      <c r="A8" s="25" t="inlineStr">
        <is>
          <t>Three-name rule: which name a character uses tells you who they are. Never use self_title in narration.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18" customWidth="1" style="17" min="2" max="2"/>
    <col width="11" customWidth="1" style="17" min="3" max="3"/>
    <col width="12" customWidth="1" style="17" min="4" max="4"/>
    <col width="13" customWidth="1" style="17" min="5" max="5"/>
    <col width="11" customWidth="1" style="17" min="6" max="6"/>
    <col width="16" customWidth="1" style="17" min="7" max="7"/>
    <col width="20" customWidth="1" style="17" min="8" max="8"/>
    <col width="18" customWidth="1" style="17" min="9" max="9"/>
    <col width="30" customWidth="1" style="17" min="10" max="10"/>
    <col width="18" customWidth="1" style="18" min="11" max="11"/>
    <col width="14" customWidth="1" style="18" min="12" max="12"/>
  </cols>
  <sheetData>
    <row r="1" ht="30" customHeight="1" s="18">
      <c r="A1" s="21" t="inlineStr">
        <is>
          <t>class_id</t>
        </is>
      </c>
      <c r="B1" s="21" t="inlineStr">
        <is>
          <t>name</t>
        </is>
      </c>
      <c r="C1" s="21" t="inlineStr">
        <is>
          <t>tier</t>
        </is>
      </c>
      <c r="D1" s="21" t="inlineStr">
        <is>
          <t>art_primary</t>
        </is>
      </c>
      <c r="E1" s="21" t="inlineStr">
        <is>
          <t>art_secondary</t>
        </is>
      </c>
      <c r="F1" s="21" t="inlineStr">
        <is>
          <t>movement</t>
        </is>
      </c>
      <c r="G1" s="21" t="inlineStr">
        <is>
          <t>promotes_from</t>
        </is>
      </c>
      <c r="H1" s="21" t="inlineStr">
        <is>
          <t>signature_skill</t>
        </is>
      </c>
      <c r="I1" s="21" t="inlineStr">
        <is>
          <t>provenance</t>
        </is>
      </c>
      <c r="J1" s="21" t="inlineStr">
        <is>
          <t>notes</t>
        </is>
      </c>
      <c r="K1" s="21" t="inlineStr">
        <is>
          <t>unlock_map_id</t>
        </is>
      </c>
      <c r="L1" s="21" t="inlineStr">
        <is>
          <t>map_actions</t>
        </is>
      </c>
    </row>
    <row r="2" ht="15" customHeight="1" s="18">
      <c r="A2" s="23" t="inlineStr">
        <is>
          <t>cls_commoner</t>
        </is>
      </c>
      <c r="B2" s="23" t="inlineStr">
        <is>
          <t>Commoner</t>
        </is>
      </c>
      <c r="C2" s="23" t="inlineStr">
        <is>
          <t>commoner</t>
        </is>
      </c>
      <c r="D2" s="23" t="inlineStr">
        <is>
          <t>none</t>
        </is>
      </c>
      <c r="E2" s="23" t="inlineStr">
        <is>
          <t>none</t>
        </is>
      </c>
      <c r="F2" s="23" t="inlineStr">
        <is>
          <t>infantry</t>
        </is>
      </c>
      <c r="G2" s="23" t="n"/>
      <c r="H2" s="23" t="n"/>
      <c r="I2" s="23" t="inlineStr">
        <is>
          <t>base</t>
        </is>
      </c>
      <c r="J2" s="23" t="n"/>
    </row>
    <row r="3" ht="15" customHeight="1" s="18">
      <c r="A3" s="23" t="inlineStr">
        <is>
          <t>cls_tr_sword</t>
        </is>
      </c>
      <c r="B3" s="23" t="inlineStr">
        <is>
          <t>Trained (sword)</t>
        </is>
      </c>
      <c r="C3" s="23" t="inlineStr">
        <is>
          <t>trained</t>
        </is>
      </c>
      <c r="D3" s="23" t="inlineStr">
        <is>
          <t>sword</t>
        </is>
      </c>
      <c r="E3" s="23" t="inlineStr">
        <is>
          <t>none</t>
        </is>
      </c>
      <c r="F3" s="23" t="inlineStr">
        <is>
          <t>infantry</t>
        </is>
      </c>
      <c r="G3" s="23" t="inlineStr">
        <is>
          <t>cls_commoner</t>
        </is>
      </c>
      <c r="H3" s="23" t="n"/>
      <c r="I3" s="23" t="inlineStr">
        <is>
          <t>base</t>
        </is>
      </c>
      <c r="J3" s="23" t="inlineStr">
        <is>
          <t>single aptitude, lv5+</t>
        </is>
      </c>
    </row>
    <row r="4" ht="15" customHeight="1" s="18">
      <c r="A4" s="23" t="inlineStr">
        <is>
          <t>cls_tr_lance</t>
        </is>
      </c>
      <c r="B4" s="23" t="inlineStr">
        <is>
          <t>Trained (lance)</t>
        </is>
      </c>
      <c r="C4" s="23" t="inlineStr">
        <is>
          <t>trained</t>
        </is>
      </c>
      <c r="D4" s="23" t="inlineStr">
        <is>
          <t>lance</t>
        </is>
      </c>
      <c r="E4" s="23" t="inlineStr">
        <is>
          <t>none</t>
        </is>
      </c>
      <c r="F4" s="23" t="inlineStr">
        <is>
          <t>infantry</t>
        </is>
      </c>
      <c r="G4" s="23" t="inlineStr">
        <is>
          <t>cls_commoner</t>
        </is>
      </c>
      <c r="H4" s="23" t="n"/>
      <c r="I4" s="23" t="inlineStr">
        <is>
          <t>base</t>
        </is>
      </c>
      <c r="J4" s="23" t="inlineStr">
        <is>
          <t>single aptitude, lv5+</t>
        </is>
      </c>
    </row>
    <row r="5" ht="15" customHeight="1" s="18">
      <c r="A5" s="23" t="inlineStr">
        <is>
          <t>cls_tr_axe</t>
        </is>
      </c>
      <c r="B5" s="23" t="inlineStr">
        <is>
          <t>Trained (axe)</t>
        </is>
      </c>
      <c r="C5" s="23" t="inlineStr">
        <is>
          <t>trained</t>
        </is>
      </c>
      <c r="D5" s="23" t="inlineStr">
        <is>
          <t>axe</t>
        </is>
      </c>
      <c r="E5" s="23" t="inlineStr">
        <is>
          <t>none</t>
        </is>
      </c>
      <c r="F5" s="23" t="inlineStr">
        <is>
          <t>infantry</t>
        </is>
      </c>
      <c r="G5" s="23" t="inlineStr">
        <is>
          <t>cls_commoner</t>
        </is>
      </c>
      <c r="H5" s="23" t="n"/>
      <c r="I5" s="23" t="inlineStr">
        <is>
          <t>base</t>
        </is>
      </c>
      <c r="J5" s="23" t="inlineStr">
        <is>
          <t>single aptitude, lv5+</t>
        </is>
      </c>
    </row>
    <row r="6" ht="15" customHeight="1" s="18">
      <c r="A6" s="23" t="inlineStr">
        <is>
          <t>cls_tr_bow</t>
        </is>
      </c>
      <c r="B6" s="23" t="inlineStr">
        <is>
          <t>Trained (bow)</t>
        </is>
      </c>
      <c r="C6" s="23" t="inlineStr">
        <is>
          <t>trained</t>
        </is>
      </c>
      <c r="D6" s="23" t="inlineStr">
        <is>
          <t>bow</t>
        </is>
      </c>
      <c r="E6" s="23" t="inlineStr">
        <is>
          <t>none</t>
        </is>
      </c>
      <c r="F6" s="23" t="inlineStr">
        <is>
          <t>infantry</t>
        </is>
      </c>
      <c r="G6" s="23" t="inlineStr">
        <is>
          <t>cls_commoner</t>
        </is>
      </c>
      <c r="H6" s="23" t="n"/>
      <c r="I6" s="23" t="inlineStr">
        <is>
          <t>base</t>
        </is>
      </c>
      <c r="J6" s="23" t="inlineStr">
        <is>
          <t>single aptitude, lv5+</t>
        </is>
      </c>
    </row>
    <row r="7" ht="15" customHeight="1" s="18">
      <c r="A7" s="23" t="inlineStr">
        <is>
          <t>cls_tr_brawl</t>
        </is>
      </c>
      <c r="B7" s="23" t="inlineStr">
        <is>
          <t>Trained (brawl)</t>
        </is>
      </c>
      <c r="C7" s="23" t="inlineStr">
        <is>
          <t>trained</t>
        </is>
      </c>
      <c r="D7" s="23" t="inlineStr">
        <is>
          <t>brawl</t>
        </is>
      </c>
      <c r="E7" s="23" t="inlineStr">
        <is>
          <t>none</t>
        </is>
      </c>
      <c r="F7" s="23" t="inlineStr">
        <is>
          <t>infantry</t>
        </is>
      </c>
      <c r="G7" s="23" t="inlineStr">
        <is>
          <t>cls_commoner</t>
        </is>
      </c>
      <c r="H7" s="23" t="n"/>
      <c r="I7" s="23" t="inlineStr">
        <is>
          <t>base</t>
        </is>
      </c>
      <c r="J7" s="23" t="inlineStr">
        <is>
          <t>single aptitude, lv5+</t>
        </is>
      </c>
    </row>
    <row r="8" ht="15" customHeight="1" s="18">
      <c r="A8" s="23" t="inlineStr">
        <is>
          <t>cls_tr_reason</t>
        </is>
      </c>
      <c r="B8" s="23" t="inlineStr">
        <is>
          <t>Trained (reason)</t>
        </is>
      </c>
      <c r="C8" s="23" t="inlineStr">
        <is>
          <t>trained</t>
        </is>
      </c>
      <c r="D8" s="23" t="inlineStr">
        <is>
          <t>reason</t>
        </is>
      </c>
      <c r="E8" s="23" t="inlineStr">
        <is>
          <t>none</t>
        </is>
      </c>
      <c r="F8" s="23" t="inlineStr">
        <is>
          <t>infantry</t>
        </is>
      </c>
      <c r="G8" s="23" t="inlineStr">
        <is>
          <t>cls_commoner</t>
        </is>
      </c>
      <c r="H8" s="23" t="n"/>
      <c r="I8" s="23" t="inlineStr">
        <is>
          <t>base</t>
        </is>
      </c>
      <c r="J8" s="23" t="inlineStr">
        <is>
          <t>single aptitude, lv5+</t>
        </is>
      </c>
    </row>
    <row r="9" ht="15" customHeight="1" s="18">
      <c r="A9" s="23" t="inlineStr">
        <is>
          <t>cls_tr_faith</t>
        </is>
      </c>
      <c r="B9" s="23" t="inlineStr">
        <is>
          <t>Trained (faith)</t>
        </is>
      </c>
      <c r="C9" s="23" t="inlineStr">
        <is>
          <t>trained</t>
        </is>
      </c>
      <c r="D9" s="23" t="inlineStr">
        <is>
          <t>faith</t>
        </is>
      </c>
      <c r="E9" s="23" t="inlineStr">
        <is>
          <t>none</t>
        </is>
      </c>
      <c r="F9" s="23" t="inlineStr">
        <is>
          <t>infantry</t>
        </is>
      </c>
      <c r="G9" s="23" t="inlineStr">
        <is>
          <t>cls_commoner</t>
        </is>
      </c>
      <c r="H9" s="23" t="n"/>
      <c r="I9" s="23" t="inlineStr">
        <is>
          <t>base</t>
        </is>
      </c>
      <c r="J9" s="23" t="inlineStr">
        <is>
          <t>single aptitude, lv5+</t>
        </is>
      </c>
    </row>
    <row r="10" ht="15" customHeight="1" s="18">
      <c r="A10" s="23" t="inlineStr">
        <is>
          <t>cls_swordmaster</t>
        </is>
      </c>
      <c r="B10" s="23" t="inlineStr">
        <is>
          <t>Swordmaster</t>
        </is>
      </c>
      <c r="C10" s="23" t="inlineStr">
        <is>
          <t>order</t>
        </is>
      </c>
      <c r="D10" s="23" t="inlineStr">
        <is>
          <t>sword</t>
        </is>
      </c>
      <c r="E10" s="23" t="inlineStr">
        <is>
          <t>infantry</t>
        </is>
      </c>
      <c r="F10" s="23" t="inlineStr">
        <is>
          <t>infantry</t>
        </is>
      </c>
      <c r="G10" s="23" t="inlineStr">
        <is>
          <t>cls_tr_sword</t>
        </is>
      </c>
      <c r="H10" s="23" t="n"/>
      <c r="I10" s="23" t="inlineStr">
        <is>
          <t>state certification</t>
        </is>
      </c>
      <c r="J10" s="23" t="inlineStr">
        <is>
          <t>lv15+, pair-certified</t>
        </is>
      </c>
    </row>
    <row r="11" ht="15" customHeight="1" s="18">
      <c r="A11" s="23" t="inlineStr">
        <is>
          <t>cls_sentinel</t>
        </is>
      </c>
      <c r="B11" s="23" t="inlineStr">
        <is>
          <t>Sentinel</t>
        </is>
      </c>
      <c r="C11" s="23" t="inlineStr">
        <is>
          <t>order</t>
        </is>
      </c>
      <c r="D11" s="23" t="inlineStr">
        <is>
          <t>sword</t>
        </is>
      </c>
      <c r="E11" s="23" t="inlineStr">
        <is>
          <t>armor</t>
        </is>
      </c>
      <c r="F11" s="23" t="inlineStr">
        <is>
          <t>armor</t>
        </is>
      </c>
      <c r="G11" s="23" t="inlineStr">
        <is>
          <t>cls_tr_sword</t>
        </is>
      </c>
      <c r="H11" s="23" t="n"/>
      <c r="I11" s="23" t="inlineStr">
        <is>
          <t>state certification</t>
        </is>
      </c>
      <c r="J11" s="23" t="inlineStr">
        <is>
          <t>lv15+, pair-certified</t>
        </is>
      </c>
    </row>
    <row r="12" ht="15" customHeight="1" s="18">
      <c r="A12" s="23" t="inlineStr">
        <is>
          <t>cls_cavalier</t>
        </is>
      </c>
      <c r="B12" s="23" t="inlineStr">
        <is>
          <t>Cavalier</t>
        </is>
      </c>
      <c r="C12" s="23" t="inlineStr">
        <is>
          <t>order</t>
        </is>
      </c>
      <c r="D12" s="23" t="inlineStr">
        <is>
          <t>sword</t>
        </is>
      </c>
      <c r="E12" s="23" t="inlineStr">
        <is>
          <t>riding</t>
        </is>
      </c>
      <c r="F12" s="23" t="inlineStr">
        <is>
          <t>riding</t>
        </is>
      </c>
      <c r="G12" s="23" t="inlineStr">
        <is>
          <t>cls_tr_sword</t>
        </is>
      </c>
      <c r="H12" s="23" t="n"/>
      <c r="I12" s="23" t="inlineStr">
        <is>
          <t>state certification</t>
        </is>
      </c>
      <c r="J12" s="23" t="inlineStr">
        <is>
          <t>lv15+, pair-certified</t>
        </is>
      </c>
    </row>
    <row r="13" ht="15" customHeight="1" s="18">
      <c r="A13" s="23" t="inlineStr">
        <is>
          <t>cls_dragoon</t>
        </is>
      </c>
      <c r="B13" s="23" t="inlineStr">
        <is>
          <t>Dragoon</t>
        </is>
      </c>
      <c r="C13" s="23" t="inlineStr">
        <is>
          <t>order</t>
        </is>
      </c>
      <c r="D13" s="23" t="inlineStr">
        <is>
          <t>sword</t>
        </is>
      </c>
      <c r="E13" s="23" t="inlineStr">
        <is>
          <t>flying</t>
        </is>
      </c>
      <c r="F13" s="23" t="inlineStr">
        <is>
          <t>flying</t>
        </is>
      </c>
      <c r="G13" s="23" t="inlineStr">
        <is>
          <t>cls_tr_sword</t>
        </is>
      </c>
      <c r="H13" s="23" t="inlineStr">
        <is>
          <t>jump-lunge</t>
        </is>
      </c>
      <c r="I13" s="23" t="inlineStr">
        <is>
          <t>state certification</t>
        </is>
      </c>
      <c r="J13" s="23" t="inlineStr">
        <is>
          <t>lv15+, pair-certified</t>
        </is>
      </c>
    </row>
    <row r="14" ht="15" customHeight="1" s="18">
      <c r="A14" s="23" t="inlineStr">
        <is>
          <t>cls_halberdier</t>
        </is>
      </c>
      <c r="B14" s="23" t="inlineStr">
        <is>
          <t>Halberdier</t>
        </is>
      </c>
      <c r="C14" s="23" t="inlineStr">
        <is>
          <t>order</t>
        </is>
      </c>
      <c r="D14" s="23" t="inlineStr">
        <is>
          <t>lance</t>
        </is>
      </c>
      <c r="E14" s="23" t="inlineStr">
        <is>
          <t>infantry</t>
        </is>
      </c>
      <c r="F14" s="23" t="inlineStr">
        <is>
          <t>infantry</t>
        </is>
      </c>
      <c r="G14" s="23" t="inlineStr">
        <is>
          <t>cls_tr_lance</t>
        </is>
      </c>
      <c r="H14" s="23" t="n"/>
      <c r="I14" s="23" t="inlineStr">
        <is>
          <t>state certification</t>
        </is>
      </c>
      <c r="J14" s="23" t="inlineStr">
        <is>
          <t>lv15+, pair-certified</t>
        </is>
      </c>
    </row>
    <row r="15" ht="15" customHeight="1" s="18">
      <c r="A15" s="23" t="inlineStr">
        <is>
          <t>cls_general</t>
        </is>
      </c>
      <c r="B15" s="23" t="inlineStr">
        <is>
          <t>General</t>
        </is>
      </c>
      <c r="C15" s="23" t="inlineStr">
        <is>
          <t>order</t>
        </is>
      </c>
      <c r="D15" s="23" t="inlineStr">
        <is>
          <t>lance</t>
        </is>
      </c>
      <c r="E15" s="23" t="inlineStr">
        <is>
          <t>armor</t>
        </is>
      </c>
      <c r="F15" s="23" t="inlineStr">
        <is>
          <t>armor</t>
        </is>
      </c>
      <c r="G15" s="23" t="inlineStr">
        <is>
          <t>cls_tr_lance</t>
        </is>
      </c>
      <c r="H15" s="23" t="n"/>
      <c r="I15" s="23" t="inlineStr">
        <is>
          <t>state certification</t>
        </is>
      </c>
      <c r="J15" s="23" t="inlineStr">
        <is>
          <t>lv15+, pair-certified</t>
        </is>
      </c>
    </row>
    <row r="16" ht="15" customHeight="1" s="18">
      <c r="A16" s="23" t="inlineStr">
        <is>
          <t>cls_paladin</t>
        </is>
      </c>
      <c r="B16" s="23" t="inlineStr">
        <is>
          <t>Paladin</t>
        </is>
      </c>
      <c r="C16" s="23" t="inlineStr">
        <is>
          <t>order</t>
        </is>
      </c>
      <c r="D16" s="23" t="inlineStr">
        <is>
          <t>lance</t>
        </is>
      </c>
      <c r="E16" s="23" t="inlineStr">
        <is>
          <t>riding</t>
        </is>
      </c>
      <c r="F16" s="23" t="inlineStr">
        <is>
          <t>riding</t>
        </is>
      </c>
      <c r="G16" s="23" t="inlineStr">
        <is>
          <t>cls_tr_lance</t>
        </is>
      </c>
      <c r="H16" s="23" t="n"/>
      <c r="I16" s="23" t="inlineStr">
        <is>
          <t>state certification</t>
        </is>
      </c>
      <c r="J16" s="23" t="inlineStr">
        <is>
          <t>lv15+, pair-certified</t>
        </is>
      </c>
    </row>
    <row r="17" ht="15" customHeight="1" s="18">
      <c r="A17" s="23" t="inlineStr">
        <is>
          <t>cls_falcon_knight</t>
        </is>
      </c>
      <c r="B17" s="23" t="inlineStr">
        <is>
          <t>Falcon knight</t>
        </is>
      </c>
      <c r="C17" s="23" t="inlineStr">
        <is>
          <t>order</t>
        </is>
      </c>
      <c r="D17" s="23" t="inlineStr">
        <is>
          <t>lance</t>
        </is>
      </c>
      <c r="E17" s="23" t="inlineStr">
        <is>
          <t>flying</t>
        </is>
      </c>
      <c r="F17" s="23" t="inlineStr">
        <is>
          <t>flying</t>
        </is>
      </c>
      <c r="G17" s="23" t="inlineStr">
        <is>
          <t>cls_tr_lance</t>
        </is>
      </c>
      <c r="H17" s="23" t="n"/>
      <c r="I17" s="23" t="inlineStr">
        <is>
          <t>state certification</t>
        </is>
      </c>
      <c r="J17" s="23" t="inlineStr">
        <is>
          <t>lv15+, pair-certified</t>
        </is>
      </c>
    </row>
    <row r="18" ht="15" customHeight="1" s="18">
      <c r="A18" s="23" t="inlineStr">
        <is>
          <t>cls_warrior</t>
        </is>
      </c>
      <c r="B18" s="23" t="inlineStr">
        <is>
          <t>Warrior</t>
        </is>
      </c>
      <c r="C18" s="23" t="inlineStr">
        <is>
          <t>order</t>
        </is>
      </c>
      <c r="D18" s="23" t="inlineStr">
        <is>
          <t>axe</t>
        </is>
      </c>
      <c r="E18" s="23" t="inlineStr">
        <is>
          <t>infantry</t>
        </is>
      </c>
      <c r="F18" s="23" t="inlineStr">
        <is>
          <t>infantry</t>
        </is>
      </c>
      <c r="G18" s="23" t="inlineStr">
        <is>
          <t>cls_tr_axe</t>
        </is>
      </c>
      <c r="H18" s="23" t="n"/>
      <c r="I18" s="23" t="inlineStr">
        <is>
          <t>state certification</t>
        </is>
      </c>
      <c r="J18" s="23" t="inlineStr">
        <is>
          <t>lv15+, pair-certified</t>
        </is>
      </c>
    </row>
    <row r="19" ht="15" customHeight="1" s="18">
      <c r="A19" s="23" t="inlineStr">
        <is>
          <t>cls_housecarl</t>
        </is>
      </c>
      <c r="B19" s="23" t="inlineStr">
        <is>
          <t>Housecarl</t>
        </is>
      </c>
      <c r="C19" s="23" t="inlineStr">
        <is>
          <t>order</t>
        </is>
      </c>
      <c r="D19" s="23" t="inlineStr">
        <is>
          <t>axe</t>
        </is>
      </c>
      <c r="E19" s="23" t="inlineStr">
        <is>
          <t>armor</t>
        </is>
      </c>
      <c r="F19" s="23" t="inlineStr">
        <is>
          <t>armor</t>
        </is>
      </c>
      <c r="G19" s="23" t="inlineStr">
        <is>
          <t>cls_tr_axe</t>
        </is>
      </c>
      <c r="H19" s="23" t="inlineStr">
        <is>
          <t>Smite</t>
        </is>
      </c>
      <c r="I19" s="23" t="inlineStr">
        <is>
          <t>state certification</t>
        </is>
      </c>
      <c r="J19" s="23" t="inlineStr">
        <is>
          <t>lv15+, pair-certified</t>
        </is>
      </c>
      <c r="L19" s="17" t="inlineStr">
        <is>
          <t>smite</t>
        </is>
      </c>
    </row>
    <row r="20" ht="15" customHeight="1" s="18">
      <c r="A20" s="23" t="inlineStr">
        <is>
          <t>cls_axe_knight</t>
        </is>
      </c>
      <c r="B20" s="23" t="inlineStr">
        <is>
          <t>Axe knight</t>
        </is>
      </c>
      <c r="C20" s="23" t="inlineStr">
        <is>
          <t>order</t>
        </is>
      </c>
      <c r="D20" s="23" t="inlineStr">
        <is>
          <t>axe</t>
        </is>
      </c>
      <c r="E20" s="23" t="inlineStr">
        <is>
          <t>riding</t>
        </is>
      </c>
      <c r="F20" s="23" t="inlineStr">
        <is>
          <t>riding</t>
        </is>
      </c>
      <c r="G20" s="23" t="inlineStr">
        <is>
          <t>cls_tr_axe</t>
        </is>
      </c>
      <c r="H20" s="23" t="n"/>
      <c r="I20" s="23" t="inlineStr">
        <is>
          <t>state certification</t>
        </is>
      </c>
      <c r="J20" s="23" t="inlineStr">
        <is>
          <t>lv15+, pair-certified</t>
        </is>
      </c>
    </row>
    <row r="21" ht="15" customHeight="1" s="18">
      <c r="A21" s="23" t="inlineStr">
        <is>
          <t>cls_wyvern_lord</t>
        </is>
      </c>
      <c r="B21" s="23" t="inlineStr">
        <is>
          <t>Wyvern lord</t>
        </is>
      </c>
      <c r="C21" s="23" t="inlineStr">
        <is>
          <t>order</t>
        </is>
      </c>
      <c r="D21" s="23" t="inlineStr">
        <is>
          <t>axe</t>
        </is>
      </c>
      <c r="E21" s="23" t="inlineStr">
        <is>
          <t>flying</t>
        </is>
      </c>
      <c r="F21" s="23" t="inlineStr">
        <is>
          <t>flying</t>
        </is>
      </c>
      <c r="G21" s="23" t="inlineStr">
        <is>
          <t>cls_tr_axe</t>
        </is>
      </c>
      <c r="H21" s="23" t="n"/>
      <c r="I21" s="23" t="inlineStr">
        <is>
          <t>state certification</t>
        </is>
      </c>
      <c r="J21" s="23" t="inlineStr">
        <is>
          <t>lv15+, pair-certified</t>
        </is>
      </c>
    </row>
    <row r="22" ht="15" customHeight="1" s="18">
      <c r="A22" s="23" t="inlineStr">
        <is>
          <t>cls_sniper</t>
        </is>
      </c>
      <c r="B22" s="23" t="inlineStr">
        <is>
          <t>Sniper</t>
        </is>
      </c>
      <c r="C22" s="23" t="inlineStr">
        <is>
          <t>order</t>
        </is>
      </c>
      <c r="D22" s="23" t="inlineStr">
        <is>
          <t>bow</t>
        </is>
      </c>
      <c r="E22" s="23" t="inlineStr">
        <is>
          <t>infantry</t>
        </is>
      </c>
      <c r="F22" s="23" t="inlineStr">
        <is>
          <t>infantry</t>
        </is>
      </c>
      <c r="G22" s="23" t="inlineStr">
        <is>
          <t>cls_tr_bow</t>
        </is>
      </c>
      <c r="H22" s="23" t="n"/>
      <c r="I22" s="23" t="inlineStr">
        <is>
          <t>state certification</t>
        </is>
      </c>
      <c r="J22" s="23" t="inlineStr">
        <is>
          <t>lv15+, pair-certified</t>
        </is>
      </c>
    </row>
    <row r="23" ht="15" customHeight="1" s="18">
      <c r="A23" s="23" t="inlineStr">
        <is>
          <t>cls_pavisier</t>
        </is>
      </c>
      <c r="B23" s="23" t="inlineStr">
        <is>
          <t>Pavisier</t>
        </is>
      </c>
      <c r="C23" s="23" t="inlineStr">
        <is>
          <t>order</t>
        </is>
      </c>
      <c r="D23" s="23" t="inlineStr">
        <is>
          <t>bow</t>
        </is>
      </c>
      <c r="E23" s="23" t="inlineStr">
        <is>
          <t>armor</t>
        </is>
      </c>
      <c r="F23" s="23" t="inlineStr">
        <is>
          <t>armor</t>
        </is>
      </c>
      <c r="G23" s="23" t="inlineStr">
        <is>
          <t>cls_tr_bow</t>
        </is>
      </c>
      <c r="H23" s="23" t="inlineStr">
        <is>
          <t>Stake</t>
        </is>
      </c>
      <c r="I23" s="23" t="inlineStr">
        <is>
          <t>state certification</t>
        </is>
      </c>
      <c r="J23" s="23" t="inlineStr">
        <is>
          <t>lv15+, pair-certified</t>
        </is>
      </c>
    </row>
    <row r="24" ht="15" customHeight="1" s="18">
      <c r="A24" s="23" t="inlineStr">
        <is>
          <t>cls_bow_knight</t>
        </is>
      </c>
      <c r="B24" s="23" t="inlineStr">
        <is>
          <t>Bow knight</t>
        </is>
      </c>
      <c r="C24" s="23" t="inlineStr">
        <is>
          <t>order</t>
        </is>
      </c>
      <c r="D24" s="23" t="inlineStr">
        <is>
          <t>bow</t>
        </is>
      </c>
      <c r="E24" s="23" t="inlineStr">
        <is>
          <t>riding</t>
        </is>
      </c>
      <c r="F24" s="23" t="inlineStr">
        <is>
          <t>riding</t>
        </is>
      </c>
      <c r="G24" s="23" t="inlineStr">
        <is>
          <t>cls_tr_bow</t>
        </is>
      </c>
      <c r="H24" s="23" t="n"/>
      <c r="I24" s="23" t="inlineStr">
        <is>
          <t>state certification</t>
        </is>
      </c>
      <c r="J24" s="23" t="inlineStr">
        <is>
          <t>lv15+, pair-certified</t>
        </is>
      </c>
    </row>
    <row r="25" ht="15" customHeight="1" s="18">
      <c r="A25" s="23" t="inlineStr">
        <is>
          <t>cls_sky_archer</t>
        </is>
      </c>
      <c r="B25" s="23" t="inlineStr">
        <is>
          <t>Sky archer</t>
        </is>
      </c>
      <c r="C25" s="23" t="inlineStr">
        <is>
          <t>order</t>
        </is>
      </c>
      <c r="D25" s="23" t="inlineStr">
        <is>
          <t>bow</t>
        </is>
      </c>
      <c r="E25" s="23" t="inlineStr">
        <is>
          <t>flying</t>
        </is>
      </c>
      <c r="F25" s="23" t="inlineStr">
        <is>
          <t>flying</t>
        </is>
      </c>
      <c r="G25" s="23" t="inlineStr">
        <is>
          <t>cls_tr_bow</t>
        </is>
      </c>
      <c r="H25" s="23" t="n"/>
      <c r="I25" s="23" t="inlineStr">
        <is>
          <t>state certification</t>
        </is>
      </c>
      <c r="J25" s="23" t="inlineStr">
        <is>
          <t>lv15+, pair-certified</t>
        </is>
      </c>
    </row>
    <row r="26" ht="15" customHeight="1" s="18">
      <c r="A26" s="23" t="inlineStr">
        <is>
          <t>cls_grappler</t>
        </is>
      </c>
      <c r="B26" s="23" t="inlineStr">
        <is>
          <t>Grappler</t>
        </is>
      </c>
      <c r="C26" s="23" t="inlineStr">
        <is>
          <t>order</t>
        </is>
      </c>
      <c r="D26" s="23" t="inlineStr">
        <is>
          <t>brawl</t>
        </is>
      </c>
      <c r="E26" s="23" t="inlineStr">
        <is>
          <t>infantry</t>
        </is>
      </c>
      <c r="F26" s="23" t="inlineStr">
        <is>
          <t>infantry</t>
        </is>
      </c>
      <c r="G26" s="23" t="inlineStr">
        <is>
          <t>cls_tr_brawl</t>
        </is>
      </c>
      <c r="H26" s="23" t="n"/>
      <c r="I26" s="23" t="inlineStr">
        <is>
          <t>state certification</t>
        </is>
      </c>
      <c r="J26" s="23" t="inlineStr">
        <is>
          <t>lv15+, pair-certified</t>
        </is>
      </c>
    </row>
    <row r="27" ht="15" customHeight="1" s="18">
      <c r="A27" s="23" t="inlineStr">
        <is>
          <t>cls_war_monk</t>
        </is>
      </c>
      <c r="B27" s="23" t="inlineStr">
        <is>
          <t>War monk</t>
        </is>
      </c>
      <c r="C27" s="23" t="inlineStr">
        <is>
          <t>order</t>
        </is>
      </c>
      <c r="D27" s="23" t="inlineStr">
        <is>
          <t>brawl</t>
        </is>
      </c>
      <c r="E27" s="23" t="inlineStr">
        <is>
          <t>armor</t>
        </is>
      </c>
      <c r="F27" s="23" t="inlineStr">
        <is>
          <t>armor</t>
        </is>
      </c>
      <c r="G27" s="23" t="inlineStr">
        <is>
          <t>cls_tr_brawl</t>
        </is>
      </c>
      <c r="H27" s="23" t="inlineStr">
        <is>
          <t>Resolve</t>
        </is>
      </c>
      <c r="I27" s="23" t="inlineStr">
        <is>
          <t>state certification</t>
        </is>
      </c>
      <c r="J27" s="23" t="inlineStr">
        <is>
          <t>lv15+, pair-certified</t>
        </is>
      </c>
    </row>
    <row r="28" ht="15" customHeight="1" s="18">
      <c r="A28" s="23" t="inlineStr">
        <is>
          <t>cls_warlock</t>
        </is>
      </c>
      <c r="B28" s="23" t="inlineStr">
        <is>
          <t>Warlock</t>
        </is>
      </c>
      <c r="C28" s="23" t="inlineStr">
        <is>
          <t>order</t>
        </is>
      </c>
      <c r="D28" s="23" t="inlineStr">
        <is>
          <t>reason</t>
        </is>
      </c>
      <c r="E28" s="23" t="inlineStr">
        <is>
          <t>infantry</t>
        </is>
      </c>
      <c r="F28" s="23" t="inlineStr">
        <is>
          <t>infantry</t>
        </is>
      </c>
      <c r="G28" s="23" t="inlineStr">
        <is>
          <t>cls_tr_reason</t>
        </is>
      </c>
      <c r="H28" s="23" t="n"/>
      <c r="I28" s="23" t="inlineStr">
        <is>
          <t>state certification</t>
        </is>
      </c>
      <c r="J28" s="23" t="inlineStr">
        <is>
          <t>lv15+, pair-certified</t>
        </is>
      </c>
    </row>
    <row r="29" ht="23.25" customHeight="1" s="18">
      <c r="A29" s="23" t="inlineStr">
        <is>
          <t>cls_baron</t>
        </is>
      </c>
      <c r="B29" s="23" t="inlineStr">
        <is>
          <t>Baron</t>
        </is>
      </c>
      <c r="C29" s="23" t="inlineStr">
        <is>
          <t>order</t>
        </is>
      </c>
      <c r="D29" s="23" t="inlineStr">
        <is>
          <t>reason</t>
        </is>
      </c>
      <c r="E29" s="23" t="inlineStr">
        <is>
          <t>armor</t>
        </is>
      </c>
      <c r="F29" s="23" t="inlineStr">
        <is>
          <t>armor</t>
        </is>
      </c>
      <c r="G29" s="23" t="inlineStr">
        <is>
          <t>cls_tr_reason</t>
        </is>
      </c>
      <c r="H29" s="23" t="inlineStr">
        <is>
          <t>casting tank (FE4 lineage)</t>
        </is>
      </c>
      <c r="I29" s="23" t="inlineStr">
        <is>
          <t>state certification</t>
        </is>
      </c>
      <c r="J29" s="23" t="inlineStr">
        <is>
          <t>lv15+, pair-certified</t>
        </is>
      </c>
    </row>
    <row r="30" ht="15" customHeight="1" s="18">
      <c r="A30" s="23" t="inlineStr">
        <is>
          <t>cls_mage_knight</t>
        </is>
      </c>
      <c r="B30" s="23" t="inlineStr">
        <is>
          <t>Mage knight</t>
        </is>
      </c>
      <c r="C30" s="23" t="inlineStr">
        <is>
          <t>order</t>
        </is>
      </c>
      <c r="D30" s="23" t="inlineStr">
        <is>
          <t>reason</t>
        </is>
      </c>
      <c r="E30" s="23" t="inlineStr">
        <is>
          <t>riding</t>
        </is>
      </c>
      <c r="F30" s="23" t="inlineStr">
        <is>
          <t>riding</t>
        </is>
      </c>
      <c r="G30" s="23" t="inlineStr">
        <is>
          <t>cls_tr_reason</t>
        </is>
      </c>
      <c r="H30" s="23" t="inlineStr">
        <is>
          <t>surveyor kit</t>
        </is>
      </c>
      <c r="I30" s="23" t="inlineStr">
        <is>
          <t>state certification</t>
        </is>
      </c>
      <c r="J30" s="23" t="inlineStr">
        <is>
          <t>lv15+, pair-certified</t>
        </is>
      </c>
    </row>
    <row r="31" ht="15" customHeight="1" s="18">
      <c r="A31" s="23" t="inlineStr">
        <is>
          <t>cls_bishop</t>
        </is>
      </c>
      <c r="B31" s="23" t="inlineStr">
        <is>
          <t>Bishop</t>
        </is>
      </c>
      <c r="C31" s="23" t="inlineStr">
        <is>
          <t>order</t>
        </is>
      </c>
      <c r="D31" s="23" t="inlineStr">
        <is>
          <t>faith</t>
        </is>
      </c>
      <c r="E31" s="23" t="inlineStr">
        <is>
          <t>infantry</t>
        </is>
      </c>
      <c r="F31" s="23" t="inlineStr">
        <is>
          <t>infantry</t>
        </is>
      </c>
      <c r="G31" s="23" t="inlineStr">
        <is>
          <t>cls_tr_faith</t>
        </is>
      </c>
      <c r="H31" s="23" t="n"/>
      <c r="I31" s="23" t="inlineStr">
        <is>
          <t>state certification</t>
        </is>
      </c>
      <c r="J31" s="23" t="inlineStr">
        <is>
          <t>lv15+, pair-certified</t>
        </is>
      </c>
    </row>
    <row r="32" ht="15" customHeight="1" s="18">
      <c r="A32" s="23" t="inlineStr">
        <is>
          <t>cls_great_shield</t>
        </is>
      </c>
      <c r="B32" s="23" t="inlineStr">
        <is>
          <t>Great shield</t>
        </is>
      </c>
      <c r="C32" s="23" t="inlineStr">
        <is>
          <t>order</t>
        </is>
      </c>
      <c r="D32" s="23" t="inlineStr">
        <is>
          <t>faith</t>
        </is>
      </c>
      <c r="E32" s="23" t="inlineStr">
        <is>
          <t>armor</t>
        </is>
      </c>
      <c r="F32" s="23" t="inlineStr">
        <is>
          <t>armor</t>
        </is>
      </c>
      <c r="G32" s="23" t="inlineStr">
        <is>
          <t>cls_tr_faith</t>
        </is>
      </c>
      <c r="H32" s="23" t="inlineStr">
        <is>
          <t>Pavise/Aegis</t>
        </is>
      </c>
      <c r="I32" s="23" t="inlineStr">
        <is>
          <t>state certification</t>
        </is>
      </c>
      <c r="J32" s="23" t="inlineStr">
        <is>
          <t>lv15+, pair-certified</t>
        </is>
      </c>
    </row>
    <row r="33" ht="15" customHeight="1" s="18">
      <c r="A33" s="23" t="inlineStr">
        <is>
          <t>cls_valkyrie</t>
        </is>
      </c>
      <c r="B33" s="23" t="inlineStr">
        <is>
          <t>Valkyrie</t>
        </is>
      </c>
      <c r="C33" s="23" t="inlineStr">
        <is>
          <t>order</t>
        </is>
      </c>
      <c r="D33" s="23" t="inlineStr">
        <is>
          <t>faith</t>
        </is>
      </c>
      <c r="E33" s="23" t="inlineStr">
        <is>
          <t>riding</t>
        </is>
      </c>
      <c r="F33" s="23" t="inlineStr">
        <is>
          <t>riding</t>
        </is>
      </c>
      <c r="G33" s="23" t="inlineStr">
        <is>
          <t>cls_tr_faith</t>
        </is>
      </c>
      <c r="H33" s="23" t="inlineStr">
        <is>
          <t>Paragon</t>
        </is>
      </c>
      <c r="I33" s="23" t="inlineStr">
        <is>
          <t>state certification</t>
        </is>
      </c>
      <c r="J33" s="23" t="inlineStr">
        <is>
          <t>lv15+, pair-certified</t>
        </is>
      </c>
    </row>
    <row r="34" ht="15" customHeight="1" s="18">
      <c r="A34" s="23" t="inlineStr">
        <is>
          <t>cls_seraph_knight</t>
        </is>
      </c>
      <c r="B34" s="23" t="inlineStr">
        <is>
          <t>Seraph knight</t>
        </is>
      </c>
      <c r="C34" s="23" t="inlineStr">
        <is>
          <t>order</t>
        </is>
      </c>
      <c r="D34" s="23" t="inlineStr">
        <is>
          <t>faith</t>
        </is>
      </c>
      <c r="E34" s="23" t="inlineStr">
        <is>
          <t>flying</t>
        </is>
      </c>
      <c r="F34" s="23" t="inlineStr">
        <is>
          <t>flying</t>
        </is>
      </c>
      <c r="G34" s="23" t="inlineStr">
        <is>
          <t>cls_tr_faith</t>
        </is>
      </c>
      <c r="H34" s="23" t="n"/>
      <c r="I34" s="23" t="inlineStr">
        <is>
          <t>state certification</t>
        </is>
      </c>
      <c r="J34" s="23" t="inlineStr">
        <is>
          <t>lv15+, pair-certified</t>
        </is>
      </c>
    </row>
    <row r="35" ht="15" customHeight="1" s="18">
      <c r="A35" s="23" t="inlineStr">
        <is>
          <t>cls_ferryman</t>
        </is>
      </c>
      <c r="B35" s="23" t="inlineStr">
        <is>
          <t>Ferryman</t>
        </is>
      </c>
      <c r="C35" s="23" t="inlineStr">
        <is>
          <t>hybrid</t>
        </is>
      </c>
      <c r="D35" s="23" t="inlineStr">
        <is>
          <t>axe</t>
        </is>
      </c>
      <c r="E35" s="23" t="inlineStr">
        <is>
          <t>faith</t>
        </is>
      </c>
      <c r="F35" s="23" t="inlineStr">
        <is>
          <t>infantry</t>
        </is>
      </c>
      <c r="G35" s="23" t="inlineStr">
        <is>
          <t>cls_tr_axe</t>
        </is>
      </c>
      <c r="H35" s="23" t="n"/>
      <c r="I35" s="23" t="inlineStr">
        <is>
          <t>setting-new</t>
        </is>
      </c>
      <c r="J35" s="23" t="inlineStr">
        <is>
          <t>carry</t>
        </is>
      </c>
      <c r="K35" s="17" t="inlineStr">
        <is>
          <t>map_p_macuil</t>
        </is>
      </c>
    </row>
    <row r="36" ht="15" customHeight="1" s="18">
      <c r="A36" s="23" t="inlineStr">
        <is>
          <t>cls_pardoner</t>
        </is>
      </c>
      <c r="B36" s="23" t="inlineStr">
        <is>
          <t>Pardoner</t>
        </is>
      </c>
      <c r="C36" s="23" t="inlineStr">
        <is>
          <t>hybrid</t>
        </is>
      </c>
      <c r="D36" s="23" t="inlineStr">
        <is>
          <t>bow</t>
        </is>
      </c>
      <c r="E36" s="23" t="inlineStr">
        <is>
          <t>faith</t>
        </is>
      </c>
      <c r="F36" s="23" t="inlineStr">
        <is>
          <t>infantry</t>
        </is>
      </c>
      <c r="G36" s="23" t="inlineStr">
        <is>
          <t>cls_tr_bow</t>
        </is>
      </c>
      <c r="H36" s="23" t="n"/>
      <c r="I36" s="23" t="inlineStr">
        <is>
          <t>setting-new</t>
        </is>
      </c>
      <c r="J36" s="23" t="inlineStr">
        <is>
          <t>seal not kill</t>
        </is>
      </c>
      <c r="K36" s="17" t="inlineStr">
        <is>
          <t>map_h33_mercy</t>
        </is>
      </c>
      <c r="L36" s="17" t="inlineStr">
        <is>
          <t>capture</t>
        </is>
      </c>
    </row>
    <row r="37" ht="15" customHeight="1" s="18">
      <c r="A37" s="23" t="inlineStr">
        <is>
          <t>cls_ash_ascetic</t>
        </is>
      </c>
      <c r="B37" s="23" t="inlineStr">
        <is>
          <t>Ash Ascetic</t>
        </is>
      </c>
      <c r="C37" s="23" t="inlineStr">
        <is>
          <t>hybrid</t>
        </is>
      </c>
      <c r="D37" s="23" t="inlineStr">
        <is>
          <t>brawl</t>
        </is>
      </c>
      <c r="E37" s="23" t="inlineStr">
        <is>
          <t>reason</t>
        </is>
      </c>
      <c r="F37" s="23" t="inlineStr">
        <is>
          <t>infantry</t>
        </is>
      </c>
      <c r="G37" s="23" t="inlineStr">
        <is>
          <t>cls_tr_brawl</t>
        </is>
      </c>
      <c r="H37" s="23" t="n"/>
      <c r="I37" s="23" t="inlineStr">
        <is>
          <t>setting-new</t>
        </is>
      </c>
      <c r="J37" s="23" t="inlineStr">
        <is>
          <t>the Stepped Coast</t>
        </is>
      </c>
      <c r="K37" s="17" t="inlineStr">
        <is>
          <t>map_p_indech</t>
        </is>
      </c>
    </row>
    <row r="38" ht="23.25" customHeight="1" s="18">
      <c r="A38" s="23" t="inlineStr">
        <is>
          <t>cls_miasma_warden</t>
        </is>
      </c>
      <c r="B38" s="23" t="inlineStr">
        <is>
          <t>Miasma Warden</t>
        </is>
      </c>
      <c r="C38" s="23" t="inlineStr">
        <is>
          <t>hybrid</t>
        </is>
      </c>
      <c r="D38" s="23" t="inlineStr">
        <is>
          <t>reason</t>
        </is>
      </c>
      <c r="E38" s="23" t="inlineStr">
        <is>
          <t>faith</t>
        </is>
      </c>
      <c r="F38" s="23" t="inlineStr">
        <is>
          <t>infantry</t>
        </is>
      </c>
      <c r="G38" s="23" t="inlineStr">
        <is>
          <t>cls_tr_reason</t>
        </is>
      </c>
      <c r="H38" s="23" t="n"/>
      <c r="I38" s="23" t="inlineStr">
        <is>
          <t>setting-new</t>
        </is>
      </c>
      <c r="J38" s="23" t="inlineStr">
        <is>
          <t>born of the plague; Maren's destination</t>
        </is>
      </c>
      <c r="K38" s="17" t="inlineStr">
        <is>
          <t>map_p_karkadann</t>
        </is>
      </c>
    </row>
    <row r="39" ht="15" customHeight="1" s="18">
      <c r="A39" s="23" t="inlineStr">
        <is>
          <t>cls_footpad</t>
        </is>
      </c>
      <c r="B39" s="23" t="inlineStr">
        <is>
          <t>Footpad</t>
        </is>
      </c>
      <c r="C39" s="23" t="inlineStr">
        <is>
          <t>shadow</t>
        </is>
      </c>
      <c r="D39" s="23" t="inlineStr">
        <is>
          <t>sword</t>
        </is>
      </c>
      <c r="E39" s="23" t="inlineStr">
        <is>
          <t>none</t>
        </is>
      </c>
      <c r="F39" s="23" t="inlineStr">
        <is>
          <t>infantry</t>
        </is>
      </c>
      <c r="G39" s="23" t="inlineStr">
        <is>
          <t>cls_commoner</t>
        </is>
      </c>
      <c r="H39" s="23" t="n"/>
      <c r="I39" s="23" t="inlineStr">
        <is>
          <t>uncertified</t>
        </is>
      </c>
      <c r="J39" s="23" t="inlineStr">
        <is>
          <t>off-matrix by definition</t>
        </is>
      </c>
    </row>
    <row r="40" ht="15" customHeight="1" s="18">
      <c r="A40" s="23" t="inlineStr">
        <is>
          <t>cls_thief</t>
        </is>
      </c>
      <c r="B40" s="23" t="inlineStr">
        <is>
          <t>Thief</t>
        </is>
      </c>
      <c r="C40" s="23" t="inlineStr">
        <is>
          <t>shadow</t>
        </is>
      </c>
      <c r="D40" s="23" t="inlineStr">
        <is>
          <t>sword</t>
        </is>
      </c>
      <c r="E40" s="23" t="inlineStr">
        <is>
          <t>none</t>
        </is>
      </c>
      <c r="F40" s="23" t="inlineStr">
        <is>
          <t>infantry</t>
        </is>
      </c>
      <c r="G40" s="23" t="inlineStr">
        <is>
          <t>cls_footpad</t>
        </is>
      </c>
      <c r="H40" s="23" t="n"/>
      <c r="I40" s="23" t="inlineStr">
        <is>
          <t>uncertified</t>
        </is>
      </c>
      <c r="J40" s="23" t="inlineStr">
        <is>
          <t>off-matrix by definition</t>
        </is>
      </c>
    </row>
    <row r="41" ht="15" customHeight="1" s="18">
      <c r="A41" s="23" t="inlineStr">
        <is>
          <t>cls_assassin</t>
        </is>
      </c>
      <c r="B41" s="23" t="inlineStr">
        <is>
          <t>Assassin</t>
        </is>
      </c>
      <c r="C41" s="23" t="inlineStr">
        <is>
          <t>shadow</t>
        </is>
      </c>
      <c r="D41" s="23" t="inlineStr">
        <is>
          <t>sword</t>
        </is>
      </c>
      <c r="E41" s="23" t="inlineStr">
        <is>
          <t>none</t>
        </is>
      </c>
      <c r="F41" s="23" t="inlineStr">
        <is>
          <t>infantry</t>
        </is>
      </c>
      <c r="G41" s="23" t="inlineStr">
        <is>
          <t>cls_thief</t>
        </is>
      </c>
      <c r="H41" s="23" t="n"/>
      <c r="I41" s="23" t="inlineStr">
        <is>
          <t>uncertified</t>
        </is>
      </c>
      <c r="J41" s="23" t="inlineStr">
        <is>
          <t>off-matrix by definition</t>
        </is>
      </c>
    </row>
    <row r="42" ht="15" customHeight="1" s="18">
      <c r="A42" s="23" t="inlineStr">
        <is>
          <t>cls_trickster</t>
        </is>
      </c>
      <c r="B42" s="23" t="inlineStr">
        <is>
          <t>Trickster</t>
        </is>
      </c>
      <c r="C42" s="23" t="inlineStr">
        <is>
          <t>shadow</t>
        </is>
      </c>
      <c r="D42" s="23" t="inlineStr">
        <is>
          <t>sword</t>
        </is>
      </c>
      <c r="E42" s="23" t="inlineStr">
        <is>
          <t>none</t>
        </is>
      </c>
      <c r="F42" s="23" t="inlineStr">
        <is>
          <t>infantry</t>
        </is>
      </c>
      <c r="G42" s="23" t="inlineStr">
        <is>
          <t>cls_thief</t>
        </is>
      </c>
      <c r="H42" s="23" t="n"/>
      <c r="I42" s="23" t="inlineStr">
        <is>
          <t>uncertified</t>
        </is>
      </c>
      <c r="J42" s="23" t="inlineStr">
        <is>
          <t>off-matrix by definition</t>
        </is>
      </c>
    </row>
    <row r="43" ht="15" customHeight="1" s="18">
      <c r="A43" s="23" t="inlineStr">
        <is>
          <t>cls_strategist</t>
        </is>
      </c>
      <c r="B43" s="23" t="inlineStr">
        <is>
          <t>Strategist</t>
        </is>
      </c>
      <c r="C43" s="23" t="inlineStr">
        <is>
          <t>personal</t>
        </is>
      </c>
      <c r="D43" s="23" t="inlineStr">
        <is>
          <t>sword</t>
        </is>
      </c>
      <c r="E43" s="23" t="inlineStr">
        <is>
          <t>authority</t>
        </is>
      </c>
      <c r="F43" s="23" t="inlineStr">
        <is>
          <t>infantry</t>
        </is>
      </c>
      <c r="G43" s="23" t="n"/>
      <c r="H43" s="23" t="n"/>
      <c r="I43" s="23" t="inlineStr">
        <is>
          <t>no paperwork exists</t>
        </is>
      </c>
      <c r="J43" s="23" t="inlineStr">
        <is>
          <t>avatar; orders not swords</t>
        </is>
      </c>
    </row>
    <row r="44" ht="23.25" customHeight="1" s="18">
      <c r="A44" s="23" t="inlineStr">
        <is>
          <t>cls_factor</t>
        </is>
      </c>
      <c r="B44" s="23" t="inlineStr">
        <is>
          <t>Factor</t>
        </is>
      </c>
      <c r="C44" s="23" t="inlineStr">
        <is>
          <t>personal</t>
        </is>
      </c>
      <c r="D44" s="23" t="inlineStr">
        <is>
          <t>none</t>
        </is>
      </c>
      <c r="E44" s="23" t="inlineStr">
        <is>
          <t>none</t>
        </is>
      </c>
      <c r="F44" s="23" t="inlineStr">
        <is>
          <t>infantry</t>
        </is>
      </c>
      <c r="G44" s="23" t="n"/>
      <c r="H44" s="23" t="n"/>
      <c r="I44" s="23" t="inlineStr">
        <is>
          <t>no paperwork exists</t>
        </is>
      </c>
      <c r="J44" s="23" t="inlineStr">
        <is>
          <t>Kheldar; end-map income, bribe one enemy to neutral</t>
        </is>
      </c>
      <c r="L44" s="17" t="inlineStr">
        <is>
          <t>bribe</t>
        </is>
      </c>
    </row>
    <row r="45" ht="15" customHeight="1" s="18">
      <c r="A45" s="23" t="inlineStr">
        <is>
          <t>cls_bounty_hunter</t>
        </is>
      </c>
      <c r="B45" s="23" t="inlineStr">
        <is>
          <t>Bounty hunter</t>
        </is>
      </c>
      <c r="C45" s="23" t="inlineStr">
        <is>
          <t>personal</t>
        </is>
      </c>
      <c r="D45" s="23" t="inlineStr">
        <is>
          <t>bow</t>
        </is>
      </c>
      <c r="E45" s="23" t="inlineStr">
        <is>
          <t>none</t>
        </is>
      </c>
      <c r="F45" s="23" t="inlineStr">
        <is>
          <t>infantry</t>
        </is>
      </c>
      <c r="G45" s="23" t="n"/>
      <c r="H45" s="23" t="n"/>
      <c r="I45" s="23" t="inlineStr">
        <is>
          <t>no paperwork exists</t>
        </is>
      </c>
      <c r="J45" s="23" t="inlineStr">
        <is>
          <t>Gunnar; Capture + Shove mercy kit</t>
        </is>
      </c>
      <c r="L45" s="17" t="inlineStr">
        <is>
          <t>capture|shove</t>
        </is>
      </c>
    </row>
    <row r="46" ht="15" customHeight="1" s="18">
      <c r="A46" s="23" t="inlineStr">
        <is>
          <t>cls_quartermaster</t>
        </is>
      </c>
      <c r="B46" s="23" t="inlineStr">
        <is>
          <t>Quartermaster</t>
        </is>
      </c>
      <c r="C46" s="23" t="inlineStr">
        <is>
          <t>personal</t>
        </is>
      </c>
      <c r="D46" s="23" t="inlineStr">
        <is>
          <t>none</t>
        </is>
      </c>
      <c r="E46" s="23" t="inlineStr">
        <is>
          <t>none</t>
        </is>
      </c>
      <c r="F46" s="23" t="inlineStr">
        <is>
          <t>infantry</t>
        </is>
      </c>
      <c r="G46" s="23" t="n"/>
      <c r="H46" s="23" t="n"/>
      <c r="I46" s="23" t="inlineStr">
        <is>
          <t>no paperwork exists</t>
        </is>
      </c>
      <c r="J46" s="23" t="inlineStr">
        <is>
          <t>Merlinus revival; one per column</t>
        </is>
      </c>
    </row>
    <row r="47" ht="15" customHeight="1" s="18">
      <c r="A47" s="23" t="inlineStr">
        <is>
          <t>cls_martyr</t>
        </is>
      </c>
      <c r="B47" s="23" t="inlineStr">
        <is>
          <t>Martyr</t>
        </is>
      </c>
      <c r="C47" s="23" t="inlineStr">
        <is>
          <t>personal</t>
        </is>
      </c>
      <c r="D47" s="23" t="inlineStr">
        <is>
          <t>faith</t>
        </is>
      </c>
      <c r="E47" s="23" t="inlineStr">
        <is>
          <t>none</t>
        </is>
      </c>
      <c r="F47" s="23" t="inlineStr">
        <is>
          <t>infantry</t>
        </is>
      </c>
      <c r="G47" s="23" t="n"/>
      <c r="H47" s="23" t="n"/>
      <c r="I47" s="23" t="inlineStr">
        <is>
          <t>no paperwork exists</t>
        </is>
      </c>
      <c r="J47" s="23" t="inlineStr">
        <is>
          <t>Provoke + Miracle + Resolve</t>
        </is>
      </c>
    </row>
    <row r="48" ht="15" customHeight="1" s="18">
      <c r="A48" s="23" t="inlineStr">
        <is>
          <t>cls_skald</t>
        </is>
      </c>
      <c r="B48" s="23" t="inlineStr">
        <is>
          <t>Skald</t>
        </is>
      </c>
      <c r="C48" s="23" t="inlineStr">
        <is>
          <t>personal</t>
        </is>
      </c>
      <c r="D48" s="23" t="inlineStr">
        <is>
          <t>none</t>
        </is>
      </c>
      <c r="E48" s="23" t="inlineStr">
        <is>
          <t>none</t>
        </is>
      </c>
      <c r="F48" s="23" t="inlineStr">
        <is>
          <t>infantry</t>
        </is>
      </c>
      <c r="G48" s="23" t="n"/>
      <c r="H48" s="23" t="n"/>
      <c r="I48" s="23" t="inlineStr">
        <is>
          <t>no paperwork exists</t>
        </is>
      </c>
      <c r="J48" s="23" t="inlineStr">
        <is>
          <t>Edda; Refresh + Steal + epithet aura</t>
        </is>
      </c>
    </row>
    <row r="49" ht="15" customHeight="1" s="18">
      <c r="A49" s="23" t="inlineStr">
        <is>
          <t>cls_sapper</t>
        </is>
      </c>
      <c r="B49" s="23" t="inlineStr">
        <is>
          <t>Sapper</t>
        </is>
      </c>
      <c r="C49" s="23" t="inlineStr">
        <is>
          <t>personal</t>
        </is>
      </c>
      <c r="D49" s="23" t="inlineStr">
        <is>
          <t>brawl</t>
        </is>
      </c>
      <c r="E49" s="23" t="inlineStr">
        <is>
          <t>none</t>
        </is>
      </c>
      <c r="F49" s="23" t="inlineStr">
        <is>
          <t>infantry</t>
        </is>
      </c>
      <c r="G49" s="23" t="n"/>
      <c r="H49" s="23" t="n"/>
      <c r="I49" s="23" t="inlineStr">
        <is>
          <t>no paperwork exists</t>
        </is>
      </c>
      <c r="J49" s="23" t="inlineStr">
        <is>
          <t>Rinsa (PLACED 2026-10-21: the descender who leads people down into the dark, so she knows how to get under a thing). Brawl, so she still fights; Breach (bring a wall down into a way through) and Mine (a charge laid on a tile for the first enemy to step on), three charges a map between them.</t>
        </is>
      </c>
      <c r="L49" t="inlineStr">
        <is>
          <t>breach|mine</t>
        </is>
      </c>
    </row>
    <row r="50" ht="15" customHeight="1" s="18">
      <c r="A50" s="23" t="inlineStr">
        <is>
          <t>cls_bogatyr</t>
        </is>
      </c>
      <c r="B50" s="23" t="inlineStr">
        <is>
          <t>Bogatyr</t>
        </is>
      </c>
      <c r="C50" s="23" t="inlineStr">
        <is>
          <t>paragon</t>
        </is>
      </c>
      <c r="D50" s="23" t="inlineStr">
        <is>
          <t>lance</t>
        </is>
      </c>
      <c r="E50" s="23" t="inlineStr">
        <is>
          <t>none</t>
        </is>
      </c>
      <c r="F50" s="23" t="inlineStr">
        <is>
          <t>riding</t>
        </is>
      </c>
      <c r="G50" s="23" t="n"/>
      <c r="H50" s="23" t="inlineStr">
        <is>
          <t>Charge</t>
        </is>
      </c>
      <c r="I50" s="23" t="inlineStr">
        <is>
          <t>Slavic</t>
        </is>
      </c>
      <c r="J50" s="23" t="inlineStr">
        <is>
          <t>lv30+, deed-gated</t>
        </is>
      </c>
    </row>
    <row r="51" ht="15" customHeight="1" s="18">
      <c r="A51" s="23" t="inlineStr">
        <is>
          <t>cls_fianna</t>
        </is>
      </c>
      <c r="B51" s="23" t="inlineStr">
        <is>
          <t>Fianna</t>
        </is>
      </c>
      <c r="C51" s="23" t="inlineStr">
        <is>
          <t>paragon</t>
        </is>
      </c>
      <c r="D51" s="23" t="inlineStr">
        <is>
          <t>sword</t>
        </is>
      </c>
      <c r="E51" s="23" t="inlineStr">
        <is>
          <t>bow</t>
        </is>
      </c>
      <c r="F51" s="23" t="inlineStr">
        <is>
          <t>infantry</t>
        </is>
      </c>
      <c r="G51" s="23" t="n"/>
      <c r="H51" s="23" t="inlineStr">
        <is>
          <t>Astra</t>
        </is>
      </c>
      <c r="I51" s="23" t="inlineStr">
        <is>
          <t>Celtic</t>
        </is>
      </c>
      <c r="J51" s="23" t="inlineStr">
        <is>
          <t>lv30+, deed-gated</t>
        </is>
      </c>
    </row>
    <row r="52" ht="15" customHeight="1" s="18">
      <c r="A52" s="23" t="inlineStr">
        <is>
          <t>cls_donso</t>
        </is>
      </c>
      <c r="B52" s="23" t="inlineStr">
        <is>
          <t>Donso</t>
        </is>
      </c>
      <c r="C52" s="23" t="inlineStr">
        <is>
          <t>paragon</t>
        </is>
      </c>
      <c r="D52" s="23" t="inlineStr">
        <is>
          <t>bow</t>
        </is>
      </c>
      <c r="E52" s="23" t="inlineStr">
        <is>
          <t>none</t>
        </is>
      </c>
      <c r="F52" s="23" t="inlineStr">
        <is>
          <t>infantry</t>
        </is>
      </c>
      <c r="G52" s="23" t="n"/>
      <c r="H52" s="23" t="inlineStr">
        <is>
          <t>Deadeye</t>
        </is>
      </c>
      <c r="I52" s="23" t="inlineStr">
        <is>
          <t>Mande</t>
        </is>
      </c>
      <c r="J52" s="23" t="inlineStr">
        <is>
          <t>lv30+, deed-gated</t>
        </is>
      </c>
    </row>
    <row r="53" ht="15" customHeight="1" s="18">
      <c r="A53" s="23" t="inlineStr">
        <is>
          <t>cls_toa</t>
        </is>
      </c>
      <c r="B53" s="23" t="inlineStr">
        <is>
          <t>Toa</t>
        </is>
      </c>
      <c r="C53" s="23" t="inlineStr">
        <is>
          <t>paragon</t>
        </is>
      </c>
      <c r="D53" s="23" t="inlineStr">
        <is>
          <t>brawl</t>
        </is>
      </c>
      <c r="E53" s="23" t="inlineStr">
        <is>
          <t>none</t>
        </is>
      </c>
      <c r="F53" s="23" t="inlineStr">
        <is>
          <t>infantry</t>
        </is>
      </c>
      <c r="G53" s="23" t="n"/>
      <c r="H53" s="23" t="inlineStr">
        <is>
          <t>Fierce Iron Fist</t>
        </is>
      </c>
      <c r="I53" s="23" t="inlineStr">
        <is>
          <t>Polynesian</t>
        </is>
      </c>
      <c r="J53" s="23" t="inlineStr">
        <is>
          <t>lv30+, deed-gated</t>
        </is>
      </c>
    </row>
    <row r="54" ht="15" customHeight="1" s="18">
      <c r="A54" s="23" t="inlineStr">
        <is>
          <t>cls_jaguar_knight</t>
        </is>
      </c>
      <c r="B54" s="23" t="inlineStr">
        <is>
          <t>Jaguar knight</t>
        </is>
      </c>
      <c r="C54" s="23" t="inlineStr">
        <is>
          <t>paragon</t>
        </is>
      </c>
      <c r="D54" s="23" t="inlineStr">
        <is>
          <t>axe</t>
        </is>
      </c>
      <c r="E54" s="23" t="inlineStr">
        <is>
          <t>brawl</t>
        </is>
      </c>
      <c r="F54" s="23" t="inlineStr">
        <is>
          <t>infantry</t>
        </is>
      </c>
      <c r="G54" s="23" t="n"/>
      <c r="H54" s="23" t="inlineStr">
        <is>
          <t>Colossus</t>
        </is>
      </c>
      <c r="I54" s="23" t="inlineStr">
        <is>
          <t>Aztec</t>
        </is>
      </c>
      <c r="J54" s="23" t="inlineStr">
        <is>
          <t>lv30+, deed-gated</t>
        </is>
      </c>
    </row>
    <row r="55" ht="15" customHeight="1" s="18">
      <c r="A55" s="23" t="inlineStr">
        <is>
          <t>cls_eagle_knight</t>
        </is>
      </c>
      <c r="B55" s="23" t="inlineStr">
        <is>
          <t>Eagle knight</t>
        </is>
      </c>
      <c r="C55" s="23" t="inlineStr">
        <is>
          <t>paragon</t>
        </is>
      </c>
      <c r="D55" s="23" t="inlineStr">
        <is>
          <t>axe</t>
        </is>
      </c>
      <c r="E55" s="23" t="inlineStr">
        <is>
          <t>none</t>
        </is>
      </c>
      <c r="F55" s="23" t="inlineStr">
        <is>
          <t>flying</t>
        </is>
      </c>
      <c r="G55" s="23" t="n"/>
      <c r="H55" s="23" t="inlineStr">
        <is>
          <t>Stun</t>
        </is>
      </c>
      <c r="I55" s="23" t="inlineStr">
        <is>
          <t>Aztec</t>
        </is>
      </c>
      <c r="J55" s="23" t="inlineStr">
        <is>
          <t>lv30+, deed-gated</t>
        </is>
      </c>
    </row>
    <row r="56" ht="15" customHeight="1" s="18">
      <c r="A56" s="23" t="inlineStr">
        <is>
          <t>cls_tzitzimitl</t>
        </is>
      </c>
      <c r="B56" s="23" t="inlineStr">
        <is>
          <t>Tzitzimitl</t>
        </is>
      </c>
      <c r="C56" s="23" t="inlineStr">
        <is>
          <t>paragon</t>
        </is>
      </c>
      <c r="D56" s="23" t="inlineStr">
        <is>
          <t>reason</t>
        </is>
      </c>
      <c r="E56" s="23" t="inlineStr">
        <is>
          <t>none</t>
        </is>
      </c>
      <c r="F56" s="23" t="inlineStr">
        <is>
          <t>flying</t>
        </is>
      </c>
      <c r="G56" s="23" t="n"/>
      <c r="H56" s="23" t="inlineStr">
        <is>
          <t>Corrosion</t>
        </is>
      </c>
      <c r="I56" s="23" t="inlineStr">
        <is>
          <t>founded in-game</t>
        </is>
      </c>
      <c r="J56" s="23" t="inlineStr">
        <is>
          <t>lv30+, deed-gated</t>
        </is>
      </c>
      <c r="K56" s="17" t="inlineStr">
        <is>
          <t>map_p_simurgh</t>
        </is>
      </c>
    </row>
    <row r="57">
      <c r="A57" s="23" t="inlineStr">
        <is>
          <t>cls_krivis</t>
        </is>
      </c>
      <c r="B57" s="23" t="inlineStr">
        <is>
          <t>Krivis</t>
        </is>
      </c>
      <c r="C57" s="23" t="inlineStr">
        <is>
          <t>paragon</t>
        </is>
      </c>
      <c r="D57" s="23" t="inlineStr">
        <is>
          <t>faith</t>
        </is>
      </c>
      <c r="E57" s="23" t="inlineStr">
        <is>
          <t>none</t>
        </is>
      </c>
      <c r="F57" s="23" t="inlineStr">
        <is>
          <t>infantry</t>
        </is>
      </c>
      <c r="G57" s="23" t="n"/>
      <c r="H57" s="23" t="inlineStr">
        <is>
          <t>Verdict</t>
        </is>
      </c>
      <c r="I57" s="23" t="inlineStr">
        <is>
          <t>Baltic</t>
        </is>
      </c>
      <c r="J57" s="23" t="inlineStr">
        <is>
          <t>lv30+, deed-gated. ADDED 2026-10-14 to fill the faith gap: canon's paragon list (Bogatyr, Fianna, Donso, Toa, Jaguar knight, Eagle knight, Tzitzimitl) had no faith class, so no faith unit could take the paragon tier. The Krivis is the Baltic high priest, a judge as much as a priest -- the paragon of a faith that rules on the dead and the living, set against the hermits' refusal to adjudicate. Name, culture, infantry movement and the signature skill are all drafted; none is setting canon.</t>
        </is>
      </c>
      <c r="K57" s="17" t="n"/>
    </row>
    <row r="58" ht="15" customHeight="1" s="18">
      <c r="A58" s="23" t="inlineStr">
        <is>
          <t>cls_immortal</t>
        </is>
      </c>
      <c r="B58" s="23" t="inlineStr">
        <is>
          <t>Immortal</t>
        </is>
      </c>
      <c r="C58" s="23" t="inlineStr">
        <is>
          <t>paragon</t>
        </is>
      </c>
      <c r="D58" s="23" t="inlineStr">
        <is>
          <t>lance</t>
        </is>
      </c>
      <c r="E58" s="23" t="inlineStr">
        <is>
          <t>bow</t>
        </is>
      </c>
      <c r="F58" s="23" t="inlineStr">
        <is>
          <t>armor</t>
        </is>
      </c>
      <c r="G58" s="23" t="n"/>
      <c r="H58" s="23" t="inlineStr">
        <is>
          <t>Ten Thousand</t>
        </is>
      </c>
      <c r="I58" s="23" t="inlineStr">
        <is>
          <t>Persian</t>
        </is>
      </c>
      <c r="J58" s="23" t="inlineStr">
        <is>
          <t>lv30+, deed-gated. ADDED 2026-10-16 to fill the armor gap: every paragon class moved on foot, on a horse or in the air, so the armor movement type (the General, the Housecarl, the Pavisier, the War monk, the Great shield...) had no second tier. The Immortal is the Persian heavy spearman-archer, the standing corps whose ranks were refilled the moment a man fell, so there were always ten thousand. A second lance paragon beside the Bogatyr (which rides), and it carries a bow like the Fianna. Name, culture, art pair, movement and the signature skill are all drafted; none is setting canon.</t>
        </is>
      </c>
      <c r="K58" s="17" t="n"/>
    </row>
    <row r="59">
      <c r="A59" s="23" t="inlineStr">
        <is>
          <t>cls_billman</t>
        </is>
      </c>
      <c r="B59" s="23" t="inlineStr">
        <is>
          <t>Billman</t>
        </is>
      </c>
      <c r="C59" s="23" t="inlineStr">
        <is>
          <t>hybrid</t>
        </is>
      </c>
      <c r="D59" s="23" t="inlineStr">
        <is>
          <t>axe</t>
        </is>
      </c>
      <c r="E59" s="23" t="inlineStr">
        <is>
          <t>lance</t>
        </is>
      </c>
      <c r="F59" s="23" t="inlineStr">
        <is>
          <t>infantry</t>
        </is>
      </c>
      <c r="G59" s="23" t="inlineStr">
        <is>
          <t>cls_tr_axe</t>
        </is>
      </c>
      <c r="H59" s="23" t="n"/>
      <c r="I59" s="23" t="inlineStr">
        <is>
          <t>setting-new</t>
        </is>
      </c>
      <c r="J59" s="23" t="inlineStr">
        <is>
          <t>DRAFTED, not placed on any unit. The axe+lance pair the halberd needs (weapons.wpn_halberd req_arts) -- no existing class has it. Added 2026-10-02 so the overlap-weapon proficiency rule has a wielder; the first user is the enemy archetype ea_billman.</t>
        </is>
      </c>
      <c r="K59" s="17" t="inlineStr">
        <is>
          <t>map_tp19</t>
        </is>
      </c>
    </row>
    <row r="61">
      <c r="A61" s="25" t="inlineStr">
        <is>
          <t>Deliberate permanent gaps: brawl+riding, brawl+flying. reason+flying is a founded gap (broken by paralogue into Tzitzimitl). Galeforce permanently banned. ADDENDUM (2026-10-05): added unlock_map_id -- a hybrid class is not offered at certification until the player has won that map (drafted, thematic: Billman = Throat Pass where the halberd-bearers stand; Ferryman = the Drowned March's lake; Pardoner = the mercy chapter; Ash Ascetic = the Stepped Coast's lake; Miasma Warden = the Dove Colony). Blank for every non-hybrid class. ADDENDUM (2026-10-06): the paragon tier is built. A unit that is certified, level 30+, has earned a paragon-gating epithet and can pay the fee may take a paragon class whose primary art it already knows; Tzitzimitl (the founded gap) also needs map_p_simurgh won (drafted guess: the flying paralogue). Faith has no paragon class -- a gap left for you to decide, not invented. unlock_map_id now applies to hybrid and paragon tiers. ADDENDUM (2026-10-14): cls_krivis (Baltic) is a drafted faith paragon, filling the one art that had none. ADDENDUM (2026-10-16): cls_immortal (Persian) is a drafted armor-movement paragon, so no movement type is left without a second tier.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8" customWidth="1" style="17" min="2" max="9"/>
    <col width="13" customWidth="1" style="17" min="10" max="10"/>
  </cols>
  <sheetData>
    <row r="1" ht="30" customHeight="1" s="18">
      <c r="A1" s="21" t="inlineStr">
        <is>
          <t>profile_id</t>
        </is>
      </c>
      <c r="B1" s="21" t="inlineStr">
        <is>
          <t>hp</t>
        </is>
      </c>
      <c r="C1" s="21" t="inlineStr">
        <is>
          <t>str</t>
        </is>
      </c>
      <c r="D1" s="21" t="inlineStr">
        <is>
          <t>mag</t>
        </is>
      </c>
      <c r="E1" s="21" t="inlineStr">
        <is>
          <t>dex</t>
        </is>
      </c>
      <c r="F1" s="21" t="inlineStr">
        <is>
          <t>spd</t>
        </is>
      </c>
      <c r="G1" s="21" t="inlineStr">
        <is>
          <t>lck</t>
        </is>
      </c>
      <c r="H1" s="21" t="inlineStr">
        <is>
          <t>def</t>
        </is>
      </c>
      <c r="I1" s="21" t="inlineStr">
        <is>
          <t>res</t>
        </is>
      </c>
      <c r="J1" s="21" t="inlineStr">
        <is>
          <t>total_check</t>
        </is>
      </c>
    </row>
    <row r="2" ht="15" customHeight="1" s="18">
      <c r="A2" s="23" t="inlineStr">
        <is>
          <t>gp_bruiser</t>
        </is>
      </c>
      <c r="B2" s="23" t="n">
        <v>65</v>
      </c>
      <c r="C2" s="23" t="n">
        <v>55</v>
      </c>
      <c r="D2" s="23" t="n">
        <v>5</v>
      </c>
      <c r="E2" s="23" t="n">
        <v>40</v>
      </c>
      <c r="F2" s="23" t="n">
        <v>40</v>
      </c>
      <c r="G2" s="23" t="n">
        <v>40</v>
      </c>
      <c r="H2" s="23" t="n">
        <v>50</v>
      </c>
      <c r="I2" s="23" t="n">
        <v>20</v>
      </c>
      <c r="J2" s="23" t="n">
        <v>315</v>
      </c>
    </row>
    <row r="3" ht="15" customHeight="1" s="18">
      <c r="A3" s="23" t="inlineStr">
        <is>
          <t>gp_armor</t>
        </is>
      </c>
      <c r="B3" s="23" t="n">
        <v>70</v>
      </c>
      <c r="C3" s="23" t="n">
        <v>50</v>
      </c>
      <c r="D3" s="23" t="n">
        <v>5</v>
      </c>
      <c r="E3" s="23" t="n">
        <v>35</v>
      </c>
      <c r="F3" s="23" t="n">
        <v>25</v>
      </c>
      <c r="G3" s="23" t="n">
        <v>30</v>
      </c>
      <c r="H3" s="23" t="n">
        <v>70</v>
      </c>
      <c r="I3" s="23" t="n">
        <v>30</v>
      </c>
      <c r="J3" s="23" t="n">
        <v>315</v>
      </c>
    </row>
    <row r="4" ht="15" customHeight="1" s="18">
      <c r="A4" s="23" t="inlineStr">
        <is>
          <t>gp_cavalry</t>
        </is>
      </c>
      <c r="B4" s="23" t="n">
        <v>55</v>
      </c>
      <c r="C4" s="23" t="n">
        <v>45</v>
      </c>
      <c r="D4" s="23" t="n">
        <v>10</v>
      </c>
      <c r="E4" s="23" t="n">
        <v>45</v>
      </c>
      <c r="F4" s="23" t="n">
        <v>55</v>
      </c>
      <c r="G4" s="23" t="n">
        <v>40</v>
      </c>
      <c r="H4" s="23" t="n">
        <v>35</v>
      </c>
      <c r="I4" s="23" t="n">
        <v>30</v>
      </c>
      <c r="J4" s="23" t="n">
        <v>315</v>
      </c>
    </row>
    <row r="5" ht="15" customHeight="1" s="18">
      <c r="A5" s="23" t="inlineStr">
        <is>
          <t>gp_flier</t>
        </is>
      </c>
      <c r="B5" s="23" t="n">
        <v>45</v>
      </c>
      <c r="C5" s="23" t="n">
        <v>40</v>
      </c>
      <c r="D5" s="23" t="n">
        <v>15</v>
      </c>
      <c r="E5" s="23" t="n">
        <v>50</v>
      </c>
      <c r="F5" s="23" t="n">
        <v>60</v>
      </c>
      <c r="G5" s="23" t="n">
        <v>40</v>
      </c>
      <c r="H5" s="23" t="n">
        <v>25</v>
      </c>
      <c r="I5" s="23" t="n">
        <v>30</v>
      </c>
      <c r="J5" s="23" t="n">
        <v>305</v>
      </c>
    </row>
    <row r="6" ht="15" customHeight="1" s="18">
      <c r="A6" s="23" t="inlineStr">
        <is>
          <t>gp_archer</t>
        </is>
      </c>
      <c r="B6" s="23" t="n">
        <v>50</v>
      </c>
      <c r="C6" s="23" t="n">
        <v>45</v>
      </c>
      <c r="D6" s="23" t="n">
        <v>10</v>
      </c>
      <c r="E6" s="23" t="n">
        <v>55</v>
      </c>
      <c r="F6" s="23" t="n">
        <v>50</v>
      </c>
      <c r="G6" s="23" t="n">
        <v>40</v>
      </c>
      <c r="H6" s="23" t="n">
        <v>35</v>
      </c>
      <c r="I6" s="23" t="n">
        <v>30</v>
      </c>
      <c r="J6" s="23" t="n">
        <v>315</v>
      </c>
    </row>
    <row r="7" ht="15" customHeight="1" s="18">
      <c r="A7" s="23" t="inlineStr">
        <is>
          <t>gp_mage</t>
        </is>
      </c>
      <c r="B7" s="23" t="n">
        <v>50</v>
      </c>
      <c r="C7" s="23" t="n">
        <v>10</v>
      </c>
      <c r="D7" s="23" t="n">
        <v>55</v>
      </c>
      <c r="E7" s="23" t="n">
        <v>45</v>
      </c>
      <c r="F7" s="23" t="n">
        <v>45</v>
      </c>
      <c r="G7" s="23" t="n">
        <v>35</v>
      </c>
      <c r="H7" s="23" t="n">
        <v>30</v>
      </c>
      <c r="I7" s="23" t="n">
        <v>45</v>
      </c>
      <c r="J7" s="23" t="n">
        <v>315</v>
      </c>
    </row>
    <row r="8" ht="15" customHeight="1" s="18">
      <c r="A8" s="23" t="inlineStr">
        <is>
          <t>gp_healer</t>
        </is>
      </c>
      <c r="B8" s="23" t="n">
        <v>40</v>
      </c>
      <c r="C8" s="23" t="n">
        <v>15</v>
      </c>
      <c r="D8" s="23" t="n">
        <v>50</v>
      </c>
      <c r="E8" s="23" t="n">
        <v>40</v>
      </c>
      <c r="F8" s="23" t="n">
        <v>45</v>
      </c>
      <c r="G8" s="23" t="n">
        <v>45</v>
      </c>
      <c r="H8" s="23" t="n">
        <v>25</v>
      </c>
      <c r="I8" s="23" t="n">
        <v>50</v>
      </c>
      <c r="J8" s="23" t="n">
        <v>310</v>
      </c>
    </row>
    <row r="9" ht="15" customHeight="1" s="18">
      <c r="A9" s="23" t="inlineStr">
        <is>
          <t>gp_frail_lucky</t>
        </is>
      </c>
      <c r="B9" s="23" t="n">
        <v>35</v>
      </c>
      <c r="C9" s="23" t="n">
        <v>25</v>
      </c>
      <c r="D9" s="23" t="n">
        <v>30</v>
      </c>
      <c r="E9" s="23" t="n">
        <v>45</v>
      </c>
      <c r="F9" s="23" t="n">
        <v>50</v>
      </c>
      <c r="G9" s="23" t="n">
        <v>75</v>
      </c>
      <c r="H9" s="23" t="n">
        <v>20</v>
      </c>
      <c r="I9" s="23" t="n">
        <v>35</v>
      </c>
      <c r="J9" s="23" t="n">
        <v>315</v>
      </c>
    </row>
    <row r="10" ht="15" customHeight="1" s="18">
      <c r="A10" s="23" t="inlineStr">
        <is>
          <t>gp_jagen</t>
        </is>
      </c>
      <c r="B10" s="23" t="n">
        <v>20</v>
      </c>
      <c r="C10" s="23" t="n">
        <v>20</v>
      </c>
      <c r="D10" s="23" t="n">
        <v>15</v>
      </c>
      <c r="E10" s="23" t="n">
        <v>20</v>
      </c>
      <c r="F10" s="23" t="n">
        <v>20</v>
      </c>
      <c r="G10" s="23" t="n">
        <v>20</v>
      </c>
      <c r="H10" s="23" t="n">
        <v>20</v>
      </c>
      <c r="I10" s="23" t="n">
        <v>15</v>
      </c>
      <c r="J10" s="23" t="n">
        <v>150</v>
      </c>
    </row>
    <row r="11" ht="15" customHeight="1" s="18">
      <c r="A11" s="23" t="inlineStr">
        <is>
          <t>gp_avatar</t>
        </is>
      </c>
      <c r="B11" s="23" t="n">
        <v>45</v>
      </c>
      <c r="C11" s="23" t="n">
        <v>40</v>
      </c>
      <c r="D11" s="23" t="n">
        <v>30</v>
      </c>
      <c r="E11" s="23" t="n">
        <v>45</v>
      </c>
      <c r="F11" s="23" t="n">
        <v>50</v>
      </c>
      <c r="G11" s="23" t="n">
        <v>40</v>
      </c>
      <c r="H11" s="23" t="n">
        <v>30</v>
      </c>
      <c r="I11" s="23" t="n">
        <v>35</v>
      </c>
      <c r="J11" s="23" t="n">
        <v>315</v>
      </c>
    </row>
    <row r="13" ht="15" customHeight="1" s="18">
      <c r="A13" s="25" t="inlineStr">
        <is>
          <t>Archetype profiles, not per-unit growths. Target band 305-325 for recruits; Jagens 150 by design. ADDENDUM (2026-09-25): calibration pass, first ruleset-calibration work after this session's content-generation phase closed out. Six profiles were out of the 305-325 band per this row's own target (and the validation tab's own v10 check): gp_bruiser/gp_armor/gp_cavalry/gp_archer/gp_mage all sat at 290-300, gp_avatar sat at 330. Adjusted each to exactly 315 (the band midpoint) by raising or lowering stats that preserve each archetype's own shape rather than flattening it -- e.g. gp_mage gained HP/def (a fragile caster getting slightly less fragile) while str stayed its deliberate dump stat; gp_armor gained HP/def/res while spd stayed deliberately low; gp_avatar (over band, a generalist) was trimmed evenly across spd/dex/lck rather than gutting one stat. gp_flier(305)/gp_healer(310)/gp_frail_lucky(315) were already in band and left untouched; gp_jagen(150) is exempt by this row's own design note.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12" customWidth="1" style="17" min="2" max="3"/>
    <col width="10" customWidth="1" style="17" min="4" max="4"/>
    <col width="15" customWidth="1" style="17" min="5" max="5"/>
    <col width="26" customWidth="1" style="17" min="6" max="6"/>
    <col width="16" customWidth="1" style="17" min="7" max="8"/>
    <col width="11" customWidth="1" style="17" min="9" max="10"/>
    <col width="46" customWidth="1" style="17" min="11" max="11"/>
  </cols>
  <sheetData>
    <row r="1" ht="30" customHeight="1" s="18">
      <c r="A1" s="21" t="inlineStr">
        <is>
          <t>unit_id</t>
        </is>
      </c>
      <c r="B1" s="21" t="inlineStr">
        <is>
          <t>name</t>
        </is>
      </c>
      <c r="C1" s="21" t="inlineStr">
        <is>
          <t>status</t>
        </is>
      </c>
      <c r="D1" s="21" t="inlineStr">
        <is>
          <t>route</t>
        </is>
      </c>
      <c r="E1" s="21" t="inlineStr">
        <is>
          <t>join_chapter_id</t>
        </is>
      </c>
      <c r="F1" s="21" t="inlineStr">
        <is>
          <t>join_condition</t>
        </is>
      </c>
      <c r="G1" s="21" t="inlineStr">
        <is>
          <t>base_class_id</t>
        </is>
      </c>
      <c r="H1" s="21" t="inlineStr">
        <is>
          <t>growth_profile_id</t>
        </is>
      </c>
      <c r="I1" s="21" t="inlineStr">
        <is>
          <t>venerated_candidate</t>
        </is>
      </c>
      <c r="J1" s="21" t="inlineStr">
        <is>
          <t>deputy_candidate</t>
        </is>
      </c>
      <c r="K1" s="21" t="inlineStr">
        <is>
          <t>notes</t>
        </is>
      </c>
    </row>
    <row r="2" ht="15" customHeight="1" s="18">
      <c r="A2" s="23" t="inlineStr">
        <is>
          <t>u_avatar</t>
        </is>
      </c>
      <c r="B2" s="23" t="inlineStr">
        <is>
          <t>Avatar</t>
        </is>
      </c>
      <c r="C2" s="23" t="inlineStr">
        <is>
          <t>recruitable</t>
        </is>
      </c>
      <c r="D2" s="23" t="inlineStr">
        <is>
          <t>both</t>
        </is>
      </c>
      <c r="E2" s="23" t="inlineStr">
        <is>
          <t>ch_d01</t>
        </is>
      </c>
      <c r="F2" s="23" t="inlineStr">
        <is>
          <t>start</t>
        </is>
      </c>
      <c r="G2" s="23" t="inlineStr">
        <is>
          <t>cls_strategist</t>
        </is>
      </c>
      <c r="H2" s="23" t="inlineStr">
        <is>
          <t>gp_avatar</t>
        </is>
      </c>
      <c r="I2" s="23" t="inlineStr">
        <is>
          <t>no</t>
        </is>
      </c>
      <c r="J2" s="23" t="inlineStr">
        <is>
          <t>no</t>
        </is>
      </c>
      <c r="K2" s="23" t="inlineStr">
        <is>
          <t>level 1 administrator; squishy; voiced and argumentative</t>
        </is>
      </c>
    </row>
    <row r="3" ht="15" customHeight="1" s="18">
      <c r="A3" s="23" t="inlineStr">
        <is>
          <t>u_jost</t>
        </is>
      </c>
      <c r="B3" s="23" t="inlineStr">
        <is>
          <t>Jost</t>
        </is>
      </c>
      <c r="C3" s="23" t="inlineStr">
        <is>
          <t>recruitable</t>
        </is>
      </c>
      <c r="D3" s="23" t="inlineStr">
        <is>
          <t>diadem</t>
        </is>
      </c>
      <c r="E3" s="23" t="inlineStr">
        <is>
          <t>ch_d03</t>
        </is>
      </c>
      <c r="F3" s="23" t="inlineStr">
        <is>
          <t>talk after village visit</t>
        </is>
      </c>
      <c r="G3" s="23" t="inlineStr">
        <is>
          <t>cls_tr_axe</t>
        </is>
      </c>
      <c r="H3" s="23" t="inlineStr">
        <is>
          <t>gp_bruiser</t>
        </is>
      </c>
      <c r="I3" s="23" t="inlineStr">
        <is>
          <t>yes</t>
        </is>
      </c>
      <c r="J3" s="23" t="inlineStr">
        <is>
          <t>no</t>
        </is>
      </c>
      <c r="K3" s="23" t="inlineStr">
        <is>
          <t>ford bandit; lucky sleeper</t>
        </is>
      </c>
    </row>
    <row r="4" ht="23.25" customHeight="1" s="18">
      <c r="A4" s="23" t="inlineStr">
        <is>
          <t>u_ricberta</t>
        </is>
      </c>
      <c r="B4" s="23" t="inlineStr">
        <is>
          <t>Ricberta</t>
        </is>
      </c>
      <c r="C4" s="23" t="inlineStr">
        <is>
          <t>recruitable</t>
        </is>
      </c>
      <c r="D4" s="23" t="inlineStr">
        <is>
          <t>diadem</t>
        </is>
      </c>
      <c r="E4" s="23" t="inlineStr">
        <is>
          <t>ch_d02</t>
        </is>
      </c>
      <c r="F4" s="23" t="inlineStr">
        <is>
          <t>auto</t>
        </is>
      </c>
      <c r="G4" s="23" t="inlineStr">
        <is>
          <t>cls_tr_lance</t>
        </is>
      </c>
      <c r="H4" s="23" t="inlineStr">
        <is>
          <t>gp_armor</t>
        </is>
      </c>
      <c r="I4" s="23" t="inlineStr">
        <is>
          <t>no</t>
        </is>
      </c>
      <c r="J4" s="23" t="inlineStr">
        <is>
          <t>yes</t>
        </is>
      </c>
      <c r="K4" s="23" t="inlineStr">
        <is>
          <t>levy sergeant; secretly literate (Baron cross option); literacy is a deputy tiebreak</t>
        </is>
      </c>
    </row>
    <row r="5" ht="15" customHeight="1" s="18">
      <c r="A5" s="23" t="inlineStr">
        <is>
          <t>u_emmerich</t>
        </is>
      </c>
      <c r="B5" s="23" t="inlineStr">
        <is>
          <t>Emmerich</t>
        </is>
      </c>
      <c r="C5" s="23" t="inlineStr">
        <is>
          <t>recruitable</t>
        </is>
      </c>
      <c r="D5" s="23" t="inlineStr">
        <is>
          <t>diadem</t>
        </is>
      </c>
      <c r="E5" s="23" t="inlineStr">
        <is>
          <t>ch_d02</t>
        </is>
      </c>
      <c r="F5" s="23" t="inlineStr">
        <is>
          <t>auto</t>
        </is>
      </c>
      <c r="G5" s="23" t="inlineStr">
        <is>
          <t>cls_tr_reason</t>
        </is>
      </c>
      <c r="H5" s="23" t="inlineStr">
        <is>
          <t>gp_mage</t>
        </is>
      </c>
      <c r="I5" s="23" t="inlineStr">
        <is>
          <t>no</t>
        </is>
      </c>
      <c r="J5" s="23" t="inlineStr">
        <is>
          <t>yes</t>
        </is>
      </c>
      <c r="K5" s="23" t="inlineStr">
        <is>
          <t>requisitions clerk; Baron showcase</t>
        </is>
      </c>
    </row>
    <row r="6" ht="15" customHeight="1" s="18">
      <c r="A6" s="23" t="inlineStr">
        <is>
          <t>u_sigrun</t>
        </is>
      </c>
      <c r="B6" s="23" t="inlineStr">
        <is>
          <t>Sigrun</t>
        </is>
      </c>
      <c r="C6" s="23" t="inlineStr">
        <is>
          <t>recruitable</t>
        </is>
      </c>
      <c r="D6" s="23" t="inlineStr">
        <is>
          <t>diadem</t>
        </is>
      </c>
      <c r="E6" s="23" t="inlineStr">
        <is>
          <t>ch_d01</t>
        </is>
      </c>
      <c r="F6" s="23" t="inlineStr">
        <is>
          <t>auto</t>
        </is>
      </c>
      <c r="G6" s="23" t="inlineStr">
        <is>
          <t>cls_tr_sword</t>
        </is>
      </c>
      <c r="H6" s="23" t="inlineStr">
        <is>
          <t>gp_cavalry</t>
        </is>
      </c>
      <c r="I6" s="23" t="inlineStr">
        <is>
          <t>no</t>
        </is>
      </c>
      <c r="J6" s="23" t="inlineStr">
        <is>
          <t>yes</t>
        </is>
      </c>
      <c r="K6" s="23" t="inlineStr">
        <is>
          <t>courier rider</t>
        </is>
      </c>
    </row>
    <row r="7" ht="15" customHeight="1" s="18">
      <c r="A7" s="23" t="inlineStr">
        <is>
          <t>u_waldrada</t>
        </is>
      </c>
      <c r="B7" s="23" t="inlineStr">
        <is>
          <t>Waldrada</t>
        </is>
      </c>
      <c r="C7" s="23" t="inlineStr">
        <is>
          <t>recruitable</t>
        </is>
      </c>
      <c r="D7" s="23" t="inlineStr">
        <is>
          <t>diadem</t>
        </is>
      </c>
      <c r="E7" s="23" t="inlineStr">
        <is>
          <t>ch_d02</t>
        </is>
      </c>
      <c r="F7" s="23" t="inlineStr">
        <is>
          <t>joins turn 2</t>
        </is>
      </c>
      <c r="G7" s="23" t="inlineStr">
        <is>
          <t>cls_tr_lance</t>
        </is>
      </c>
      <c r="H7" s="23" t="inlineStr">
        <is>
          <t>gp_flier</t>
        </is>
      </c>
      <c r="I7" s="23" t="inlineStr">
        <is>
          <t>no</t>
        </is>
      </c>
      <c r="J7" s="23" t="inlineStr">
        <is>
          <t>yes</t>
        </is>
      </c>
      <c r="K7" s="23" t="inlineStr">
        <is>
          <t>resentful Assembly flier; loyalty subplot</t>
        </is>
      </c>
    </row>
    <row r="8" ht="15" customHeight="1" s="18">
      <c r="A8" s="23" t="inlineStr">
        <is>
          <t>u_tancred</t>
        </is>
      </c>
      <c r="B8" s="23" t="inlineStr">
        <is>
          <t>Tancred</t>
        </is>
      </c>
      <c r="C8" s="23" t="inlineStr">
        <is>
          <t>recruitable</t>
        </is>
      </c>
      <c r="D8" s="23" t="inlineStr">
        <is>
          <t>diadem</t>
        </is>
      </c>
      <c r="E8" s="23" t="inlineStr">
        <is>
          <t>ch_d03</t>
        </is>
      </c>
      <c r="F8" s="23" t="inlineStr">
        <is>
          <t>auto</t>
        </is>
      </c>
      <c r="G8" s="23" t="inlineStr">
        <is>
          <t>cls_tr_bow</t>
        </is>
      </c>
      <c r="H8" s="23" t="inlineStr">
        <is>
          <t>gp_archer</t>
        </is>
      </c>
      <c r="I8" s="23" t="inlineStr">
        <is>
          <t>no</t>
        </is>
      </c>
      <c r="J8" s="23" t="inlineStr">
        <is>
          <t>no</t>
        </is>
      </c>
      <c r="K8" s="23" t="inlineStr">
        <is>
          <t>village recruit; Pardoner line</t>
        </is>
      </c>
    </row>
    <row r="9" ht="15" customHeight="1" s="18">
      <c r="A9" s="23" t="inlineStr">
        <is>
          <t>u_maren</t>
        </is>
      </c>
      <c r="B9" s="23" t="inlineStr">
        <is>
          <t>Maren</t>
        </is>
      </c>
      <c r="C9" s="23" t="inlineStr">
        <is>
          <t>recruitable</t>
        </is>
      </c>
      <c r="D9" s="23" t="inlineStr">
        <is>
          <t>assembly</t>
        </is>
      </c>
      <c r="E9" s="23" t="inlineStr">
        <is>
          <t>ch_a01</t>
        </is>
      </c>
      <c r="F9" s="23" t="inlineStr">
        <is>
          <t>auto if all civilians survive</t>
        </is>
      </c>
      <c r="G9" s="23" t="inlineStr">
        <is>
          <t>cls_tr_faith</t>
        </is>
      </c>
      <c r="H9" s="23" t="inlineStr">
        <is>
          <t>gp_healer</t>
        </is>
      </c>
      <c r="I9" s="23" t="inlineStr">
        <is>
          <t>yes</t>
        </is>
      </c>
      <c r="J9" s="23" t="inlineStr">
        <is>
          <t>no</t>
        </is>
      </c>
      <c r="K9" s="23" t="inlineStr">
        <is>
          <t>winter-dole healer; Miasma Warden destination</t>
        </is>
      </c>
    </row>
    <row r="10" ht="15" customHeight="1" s="18">
      <c r="A10" s="23" t="inlineStr">
        <is>
          <t>u_brandt</t>
        </is>
      </c>
      <c r="B10" s="23" t="inlineStr">
        <is>
          <t>Brandt</t>
        </is>
      </c>
      <c r="C10" s="23" t="inlineStr">
        <is>
          <t>recruitable</t>
        </is>
      </c>
      <c r="D10" s="23" t="inlineStr">
        <is>
          <t>assembly</t>
        </is>
      </c>
      <c r="E10" s="23" t="inlineStr">
        <is>
          <t>ch_a01</t>
        </is>
      </c>
      <c r="F10" s="23" t="inlineStr">
        <is>
          <t>auto</t>
        </is>
      </c>
      <c r="G10" s="23" t="inlineStr">
        <is>
          <t>cls_tr_lance</t>
        </is>
      </c>
      <c r="H10" s="23" t="inlineStr">
        <is>
          <t>gp_armor</t>
        </is>
      </c>
      <c r="I10" s="23" t="inlineStr">
        <is>
          <t>no</t>
        </is>
      </c>
      <c r="J10" s="23" t="inlineStr">
        <is>
          <t>yes</t>
        </is>
      </c>
      <c r="K10" s="23" t="inlineStr">
        <is>
          <t>gate sergeant; Great shield via Maren support</t>
        </is>
      </c>
    </row>
    <row r="11" ht="15" customHeight="1" s="18">
      <c r="A11" s="23" t="inlineStr">
        <is>
          <t>u_solveig</t>
        </is>
      </c>
      <c r="B11" s="23" t="inlineStr">
        <is>
          <t>Solveig</t>
        </is>
      </c>
      <c r="C11" s="23" t="inlineStr">
        <is>
          <t>recruitable</t>
        </is>
      </c>
      <c r="D11" s="23" t="inlineStr">
        <is>
          <t>assembly</t>
        </is>
      </c>
      <c r="E11" s="23" t="inlineStr">
        <is>
          <t>ch_a02</t>
        </is>
      </c>
      <c r="F11" s="23" t="inlineStr">
        <is>
          <t>auto</t>
        </is>
      </c>
      <c r="G11" s="23" t="inlineStr">
        <is>
          <t>cls_tr_lance</t>
        </is>
      </c>
      <c r="H11" s="23" t="inlineStr">
        <is>
          <t>gp_flier</t>
        </is>
      </c>
      <c r="I11" s="23" t="inlineStr">
        <is>
          <t>no</t>
        </is>
      </c>
      <c r="J11" s="23" t="inlineStr">
        <is>
          <t>yes</t>
        </is>
      </c>
      <c r="K11" s="23" t="inlineStr">
        <is>
          <t>highland pegasus courier; living-prophecy family</t>
        </is>
      </c>
    </row>
    <row r="12" ht="15" customHeight="1" s="18">
      <c r="A12" s="23" t="inlineStr">
        <is>
          <t>u_gunnar</t>
        </is>
      </c>
      <c r="B12" s="23" t="inlineStr">
        <is>
          <t>Gunnar</t>
        </is>
      </c>
      <c r="C12" s="23" t="inlineStr">
        <is>
          <t>recruitable</t>
        </is>
      </c>
      <c r="D12" s="23" t="inlineStr">
        <is>
          <t>assembly</t>
        </is>
      </c>
      <c r="E12" s="23" t="inlineStr">
        <is>
          <t>ch_a02</t>
        </is>
      </c>
      <c r="F12" s="23" t="inlineStr">
        <is>
          <t>auto</t>
        </is>
      </c>
      <c r="G12" s="23" t="inlineStr">
        <is>
          <t>cls_bounty_hunter</t>
        </is>
      </c>
      <c r="H12" s="23" t="inlineStr">
        <is>
          <t>gp_archer</t>
        </is>
      </c>
      <c r="I12" s="23" t="inlineStr">
        <is>
          <t>no</t>
        </is>
      </c>
      <c r="J12" s="23" t="inlineStr">
        <is>
          <t>yes</t>
        </is>
      </c>
      <c r="K12" s="23" t="inlineStr">
        <is>
          <t>old huntsman; crossbow-certified</t>
        </is>
      </c>
    </row>
    <row r="13" ht="15" customHeight="1" s="18">
      <c r="A13" s="23" t="inlineStr">
        <is>
          <t>u_edda</t>
        </is>
      </c>
      <c r="B13" s="23" t="inlineStr">
        <is>
          <t>Edda</t>
        </is>
      </c>
      <c r="C13" s="23" t="inlineStr">
        <is>
          <t>recruitable</t>
        </is>
      </c>
      <c r="D13" s="23" t="inlineStr">
        <is>
          <t>assembly</t>
        </is>
      </c>
      <c r="E13" s="23" t="inlineStr">
        <is>
          <t>ch_a02</t>
        </is>
      </c>
      <c r="F13" s="23" t="inlineStr">
        <is>
          <t>auto</t>
        </is>
      </c>
      <c r="G13" s="23" t="inlineStr">
        <is>
          <t>cls_skald</t>
        </is>
      </c>
      <c r="H13" s="23" t="inlineStr">
        <is>
          <t>gp_frail_lucky</t>
        </is>
      </c>
      <c r="I13" s="23" t="inlineStr">
        <is>
          <t>no</t>
        </is>
      </c>
      <c r="J13" s="23" t="inlineStr">
        <is>
          <t>no</t>
        </is>
      </c>
      <c r="K13" s="23" t="inlineStr">
        <is>
          <t>village reciter</t>
        </is>
      </c>
    </row>
    <row r="14" ht="15" customHeight="1" s="18">
      <c r="A14" s="23" t="inlineStr">
        <is>
          <t>u_anselm</t>
        </is>
      </c>
      <c r="B14" s="23" t="inlineStr">
        <is>
          <t>Anselm</t>
        </is>
      </c>
      <c r="C14" s="23" t="inlineStr">
        <is>
          <t>recruitable</t>
        </is>
      </c>
      <c r="D14" s="23" t="inlineStr">
        <is>
          <t>assembly</t>
        </is>
      </c>
      <c r="E14" s="23" t="inlineStr">
        <is>
          <t>ch_a03</t>
        </is>
      </c>
      <c r="F14" s="23" t="inlineStr">
        <is>
          <t>auto</t>
        </is>
      </c>
      <c r="G14" s="23" t="inlineStr">
        <is>
          <t>cls_tr_faith</t>
        </is>
      </c>
      <c r="H14" s="23" t="inlineStr">
        <is>
          <t>gp_healer</t>
        </is>
      </c>
      <c r="I14" s="23" t="inlineStr">
        <is>
          <t>no</t>
        </is>
      </c>
      <c r="J14" s="23" t="inlineStr">
        <is>
          <t>yes</t>
        </is>
      </c>
      <c r="K14" s="23" t="inlineStr">
        <is>
          <t>adrift monk; theology barometer</t>
        </is>
      </c>
    </row>
    <row r="15" ht="23.25" customHeight="1" s="18">
      <c r="A15" s="23" t="inlineStr">
        <is>
          <t>u_kheldar</t>
        </is>
      </c>
      <c r="B15" s="23" t="inlineStr">
        <is>
          <t>Kheldar</t>
        </is>
      </c>
      <c r="C15" s="23" t="inlineStr">
        <is>
          <t>recruitable</t>
        </is>
      </c>
      <c r="D15" s="23" t="inlineStr">
        <is>
          <t>both</t>
        </is>
      </c>
      <c r="E15" s="23" t="inlineStr">
        <is>
          <t>ch_d01</t>
        </is>
      </c>
      <c r="F15" s="23" t="inlineStr">
        <is>
          <t>recruited when profitable</t>
        </is>
      </c>
      <c r="G15" s="23" t="inlineStr">
        <is>
          <t>cls_factor</t>
        </is>
      </c>
      <c r="H15" s="23" t="inlineStr">
        <is>
          <t>gp_frail_lucky</t>
        </is>
      </c>
      <c r="I15" s="23" t="inlineStr">
        <is>
          <t>no</t>
        </is>
      </c>
      <c r="J15" s="23" t="inlineStr">
        <is>
          <t>no</t>
        </is>
      </c>
      <c r="K15" s="23" t="inlineStr">
        <is>
          <t>smuggler merchant-spy; ch1 cameo unkillable, escapes turn 6; manifest discrepancy thread</t>
        </is>
      </c>
    </row>
    <row r="16" ht="23.25" customHeight="1" s="18">
      <c r="A16" s="23" t="inlineStr">
        <is>
          <t>u_dietmar</t>
        </is>
      </c>
      <c r="B16" s="23" t="inlineStr">
        <is>
          <t>Dietmar</t>
        </is>
      </c>
      <c r="C16" s="23" t="inlineStr">
        <is>
          <t>jagen</t>
        </is>
      </c>
      <c r="D16" s="23" t="inlineStr">
        <is>
          <t>diadem</t>
        </is>
      </c>
      <c r="E16" s="23" t="inlineStr">
        <is>
          <t>ch_d01</t>
        </is>
      </c>
      <c r="F16" s="23" t="inlineStr">
        <is>
          <t>start</t>
        </is>
      </c>
      <c r="G16" s="23" t="inlineStr">
        <is>
          <t>cls_paladin</t>
        </is>
      </c>
      <c r="H16" s="23" t="inlineStr">
        <is>
          <t>gp_jagen</t>
        </is>
      </c>
      <c r="I16" s="23" t="inlineStr">
        <is>
          <t>no</t>
        </is>
      </c>
      <c r="J16" s="23" t="inlineStr">
        <is>
          <t>no</t>
        </is>
      </c>
      <c r="K16" s="23" t="inlineStr">
        <is>
          <t>revolution-generation; obsolescence arc; one Act 3 gate-holding deed map</t>
        </is>
      </c>
    </row>
    <row r="17" ht="15" customHeight="1" s="18">
      <c r="A17" s="23" t="inlineStr">
        <is>
          <t>u_torvald</t>
        </is>
      </c>
      <c r="B17" s="23" t="inlineStr">
        <is>
          <t>Torvald</t>
        </is>
      </c>
      <c r="C17" s="23" t="inlineStr">
        <is>
          <t>jagen</t>
        </is>
      </c>
      <c r="D17" s="23" t="inlineStr">
        <is>
          <t>assembly</t>
        </is>
      </c>
      <c r="E17" s="23" t="inlineStr">
        <is>
          <t>ch_a01</t>
        </is>
      </c>
      <c r="F17" s="23" t="inlineStr">
        <is>
          <t>start</t>
        </is>
      </c>
      <c r="G17" s="23" t="inlineStr">
        <is>
          <t>cls_axe_knight</t>
        </is>
      </c>
      <c r="H17" s="23" t="inlineStr">
        <is>
          <t>gp_jagen</t>
        </is>
      </c>
      <c r="I17" s="23" t="inlineStr">
        <is>
          <t>no</t>
        </is>
      </c>
      <c r="J17" s="23" t="inlineStr">
        <is>
          <t>no</t>
        </is>
      </c>
      <c r="K17" s="23" t="inlineStr">
        <is>
          <t>last of a plague-gutted order; force-deployed on ch_a03</t>
        </is>
      </c>
    </row>
    <row r="18" ht="135.8" customHeight="1" s="18">
      <c r="A18" s="23" t="inlineStr">
        <is>
          <t>u_rinsa</t>
        </is>
      </c>
      <c r="B18" s="23" t="inlineStr">
        <is>
          <t>Rinsa</t>
        </is>
      </c>
      <c r="C18" s="23" t="inlineStr">
        <is>
          <t>recruitable</t>
        </is>
      </c>
      <c r="D18" s="23" t="inlineStr">
        <is>
          <t>both</t>
        </is>
      </c>
      <c r="E18" s="23" t="inlineStr">
        <is>
          <t>ch_b15</t>
        </is>
      </c>
      <c r="F18" s="23" t="inlineStr">
        <is>
          <t>talk; differs by route</t>
        </is>
      </c>
      <c r="G18" s="23" t="inlineStr">
        <is>
          <t>cls_sapper</t>
        </is>
      </c>
      <c r="H18" s="23" t="inlineStr">
        <is>
          <t>gp_bruiser</t>
        </is>
      </c>
      <c r="I18" s="23" t="inlineStr">
        <is>
          <t>no</t>
        </is>
      </c>
      <c r="J18" s="23" t="inlineStr">
        <is>
          <t>no</t>
        </is>
      </c>
      <c r="K18" s="23" t="inlineStr">
        <is>
          <t>the descender: paid staff at the oracle of the dead, not clergy. Leads customers down into the dark, waits while they ask their one question, brings them up. Has done it hundreds of times. Sign: the Vessel. Bound for Ash Ascetic (brawl+reason). DIADEM: you cannot cross the wall at the Throat without a guide. ASSEMBLY: she comes down to you, because the oracle's waiting list is full of your plague dead and she wants to know why the crown stopped sending the parish lists. The only unit who has BEEN down there, which matters in the endgame when the question is whether the Venerated is dead: everyone else argues from documents.</t>
        </is>
      </c>
    </row>
    <row r="19" ht="15" customHeight="1" s="18">
      <c r="A19" s="23" t="inlineStr">
        <is>
          <t>u_kest</t>
        </is>
      </c>
      <c r="B19" s="23" t="inlineStr">
        <is>
          <t>Kest</t>
        </is>
      </c>
      <c r="C19" s="23" t="inlineStr">
        <is>
          <t>recruitable</t>
        </is>
      </c>
      <c r="D19" s="23" t="inlineStr">
        <is>
          <t>diadem</t>
        </is>
      </c>
      <c r="E19" s="23" t="inlineStr">
        <is>
          <t>ch_d02</t>
        </is>
      </c>
      <c r="F19" s="23" t="inlineStr">
        <is>
          <t>talk or let-go, mid-heist</t>
        </is>
      </c>
      <c r="G19" s="23" t="inlineStr">
        <is>
          <t>cls_footpad</t>
        </is>
      </c>
      <c r="H19" s="23" t="inlineStr">
        <is>
          <t>gp_frail_lucky</t>
        </is>
      </c>
      <c r="I19" s="23" t="inlineStr">
        <is>
          <t>no</t>
        </is>
      </c>
      <c r="J19" s="23" t="inlineStr">
        <is>
          <t>no</t>
        </is>
      </c>
      <c r="K19" s="23" t="inlineStr">
        <is>
          <t>JIMMY THE HAND / LOCKE LAMORA archetype, gender-swapped: prodigious thief, guild-raised in Nikaia (shrunken city, six hundred people inside walls built for twenty thousand) -- works the abandoned quarters the state cannot afford to police, picking through the ruin of an economy rather than preying on a functioning one. Sign: the Twins. RECRUITMENT SCENE: caught mid-job in an abandoned house, arguing both sides of whether to take a single small worthless item -- a decan token, not clearly valuable and not clearly anyone's. She takes it despite herself. The recruiting unit does not need to understand the argument, only notice she was having one with someone who is not there. REVEAL WITHHELD AT RECRUITMENT: she is grieving a twin brother she believes she failed to protect, and the arguing-both-sides habit used to be a real second voice. This surfaces later, in supports, never at recruitment -- a first-time player should read the scene as ordinary Twins indecision, not grief, and only recontextualise it once a support earns the reveal. The token is HIS decan, not hers; inert and unremarked in Act 1-2, becomes relevant to the calendar schism in Act 3 (see calendar tab) -- a personal object turns out to be evidence in the document dispute the endgame runs on, without her knowing that when she pockets it. Bound for the shadow tier (Assassin/Trickster). NOTE: this is the one unit whose sign carries a hidden-trauma mechanism this deep -- not a template for the other 17 (see signs tab caution).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2" customWidth="1" style="18" min="1" max="1"/>
    <col width="8" customWidth="1" style="18" min="2" max="2"/>
    <col width="10" customWidth="1" style="18" min="3" max="3"/>
    <col width="6" customWidth="1" style="18" min="4" max="4"/>
    <col width="6" customWidth="1" style="18" min="5" max="5"/>
    <col width="6" customWidth="1" style="18" min="6" max="6"/>
    <col width="6" customWidth="1" style="18" min="7" max="7"/>
    <col width="6" customWidth="1" style="18" min="8" max="8"/>
    <col width="6" customWidth="1" style="18" min="9" max="9"/>
    <col width="6" customWidth="1" style="18" min="10" max="10"/>
    <col width="6" customWidth="1" style="18" min="11" max="11"/>
  </cols>
  <sheetData>
    <row r="1">
      <c r="A1" s="26" t="inlineStr">
        <is>
          <t>unit_id</t>
        </is>
      </c>
      <c r="B1" s="26" t="inlineStr">
        <is>
          <t>level</t>
        </is>
      </c>
      <c r="C1" s="26" t="inlineStr">
        <is>
          <t>tier</t>
        </is>
      </c>
      <c r="D1" s="26" t="inlineStr">
        <is>
          <t>hp</t>
        </is>
      </c>
      <c r="E1" s="26" t="inlineStr">
        <is>
          <t>str</t>
        </is>
      </c>
      <c r="F1" s="26" t="inlineStr">
        <is>
          <t>mag</t>
        </is>
      </c>
      <c r="G1" s="26" t="inlineStr">
        <is>
          <t>dex</t>
        </is>
      </c>
      <c r="H1" s="26" t="inlineStr">
        <is>
          <t>spd</t>
        </is>
      </c>
      <c r="I1" s="26" t="inlineStr">
        <is>
          <t>lck</t>
        </is>
      </c>
      <c r="J1" s="26" t="inlineStr">
        <is>
          <t>def</t>
        </is>
      </c>
      <c r="K1" s="26" t="inlineStr">
        <is>
          <t>res</t>
        </is>
      </c>
    </row>
    <row r="2">
      <c r="A2" s="17" t="inlineStr">
        <is>
          <t>u_avatar</t>
        </is>
      </c>
      <c r="B2" s="17" t="n">
        <v>1</v>
      </c>
      <c r="C2" s="17" t="inlineStr">
        <is>
          <t>personal</t>
        </is>
      </c>
      <c r="D2" s="17" t="n">
        <v>20</v>
      </c>
      <c r="E2" s="17" t="n">
        <v>6</v>
      </c>
      <c r="F2" s="17" t="n">
        <v>5</v>
      </c>
      <c r="G2" s="17" t="n">
        <v>6</v>
      </c>
      <c r="H2" s="17" t="n">
        <v>7</v>
      </c>
      <c r="I2" s="17" t="n">
        <v>6</v>
      </c>
      <c r="J2" s="17" t="n">
        <v>5</v>
      </c>
      <c r="K2" s="17" t="n">
        <v>5</v>
      </c>
    </row>
    <row r="3">
      <c r="A3" s="17" t="inlineStr">
        <is>
          <t>u_jost</t>
        </is>
      </c>
      <c r="B3" s="17" t="n">
        <v>5</v>
      </c>
      <c r="C3" s="17" t="inlineStr">
        <is>
          <t>trained</t>
        </is>
      </c>
      <c r="D3" s="17" t="n">
        <v>23</v>
      </c>
      <c r="E3" s="17" t="n">
        <v>8</v>
      </c>
      <c r="F3" s="17" t="n">
        <v>3</v>
      </c>
      <c r="G3" s="17" t="n">
        <v>8</v>
      </c>
      <c r="H3" s="17" t="n">
        <v>8</v>
      </c>
      <c r="I3" s="17" t="n">
        <v>7</v>
      </c>
      <c r="J3" s="17" t="n">
        <v>6</v>
      </c>
      <c r="K3" s="17" t="n">
        <v>4</v>
      </c>
    </row>
    <row r="4">
      <c r="A4" s="17" t="inlineStr">
        <is>
          <t>u_ricberta</t>
        </is>
      </c>
      <c r="B4" s="17" t="n">
        <v>5</v>
      </c>
      <c r="C4" s="17" t="inlineStr">
        <is>
          <t>trained</t>
        </is>
      </c>
      <c r="D4" s="17" t="n">
        <v>23</v>
      </c>
      <c r="E4" s="17" t="n">
        <v>7</v>
      </c>
      <c r="F4" s="17" t="n">
        <v>3</v>
      </c>
      <c r="G4" s="17" t="n">
        <v>8</v>
      </c>
      <c r="H4" s="17" t="n">
        <v>7</v>
      </c>
      <c r="I4" s="17" t="n">
        <v>7</v>
      </c>
      <c r="J4" s="17" t="n">
        <v>7</v>
      </c>
      <c r="K4" s="17" t="n">
        <v>4</v>
      </c>
    </row>
    <row r="5">
      <c r="A5" s="17" t="inlineStr">
        <is>
          <t>u_emmerich</t>
        </is>
      </c>
      <c r="B5" s="17" t="n">
        <v>5</v>
      </c>
      <c r="C5" s="17" t="inlineStr">
        <is>
          <t>trained</t>
        </is>
      </c>
      <c r="D5" s="17" t="n">
        <v>22</v>
      </c>
      <c r="E5" s="17" t="n">
        <v>5</v>
      </c>
      <c r="F5" s="17" t="n">
        <v>6</v>
      </c>
      <c r="G5" s="17" t="n">
        <v>8</v>
      </c>
      <c r="H5" s="17" t="n">
        <v>8</v>
      </c>
      <c r="I5" s="17" t="n">
        <v>7</v>
      </c>
      <c r="J5" s="17" t="n">
        <v>5</v>
      </c>
      <c r="K5" s="17" t="n">
        <v>5</v>
      </c>
    </row>
    <row r="6">
      <c r="A6" s="17" t="inlineStr">
        <is>
          <t>u_sigrun</t>
        </is>
      </c>
      <c r="B6" s="17" t="n">
        <v>5</v>
      </c>
      <c r="C6" s="17" t="inlineStr">
        <is>
          <t>trained</t>
        </is>
      </c>
      <c r="D6" s="17" t="n">
        <v>22</v>
      </c>
      <c r="E6" s="17" t="n">
        <v>7</v>
      </c>
      <c r="F6" s="17" t="n">
        <v>3</v>
      </c>
      <c r="G6" s="17" t="n">
        <v>8</v>
      </c>
      <c r="H6" s="17" t="n">
        <v>8</v>
      </c>
      <c r="I6" s="17" t="n">
        <v>7</v>
      </c>
      <c r="J6" s="17" t="n">
        <v>6</v>
      </c>
      <c r="K6" s="17" t="n">
        <v>4</v>
      </c>
    </row>
    <row r="7">
      <c r="A7" s="17" t="inlineStr">
        <is>
          <t>u_waldrada</t>
        </is>
      </c>
      <c r="B7" s="17" t="n">
        <v>5</v>
      </c>
      <c r="C7" s="17" t="inlineStr">
        <is>
          <t>trained</t>
        </is>
      </c>
      <c r="D7" s="17" t="n">
        <v>22</v>
      </c>
      <c r="E7" s="17" t="n">
        <v>7</v>
      </c>
      <c r="F7" s="17" t="n">
        <v>4</v>
      </c>
      <c r="G7" s="17" t="n">
        <v>8</v>
      </c>
      <c r="H7" s="17" t="n">
        <v>9</v>
      </c>
      <c r="I7" s="17" t="n">
        <v>7</v>
      </c>
      <c r="J7" s="17" t="n">
        <v>5</v>
      </c>
      <c r="K7" s="17" t="n">
        <v>5</v>
      </c>
    </row>
    <row r="8">
      <c r="A8" s="17" t="inlineStr">
        <is>
          <t>u_tancred</t>
        </is>
      </c>
      <c r="B8" s="17" t="n">
        <v>5</v>
      </c>
      <c r="C8" s="17" t="inlineStr">
        <is>
          <t>trained</t>
        </is>
      </c>
      <c r="D8" s="17" t="n">
        <v>22</v>
      </c>
      <c r="E8" s="17" t="n">
        <v>7</v>
      </c>
      <c r="F8" s="17" t="n">
        <v>3</v>
      </c>
      <c r="G8" s="17" t="n">
        <v>9</v>
      </c>
      <c r="H8" s="17" t="n">
        <v>8</v>
      </c>
      <c r="I8" s="17" t="n">
        <v>7</v>
      </c>
      <c r="J8" s="17" t="n">
        <v>6</v>
      </c>
      <c r="K8" s="17" t="n">
        <v>4</v>
      </c>
    </row>
    <row r="9">
      <c r="A9" s="17" t="inlineStr">
        <is>
          <t>u_maren</t>
        </is>
      </c>
      <c r="B9" s="17" t="n">
        <v>5</v>
      </c>
      <c r="C9" s="17" t="inlineStr">
        <is>
          <t>trained</t>
        </is>
      </c>
      <c r="D9" s="17" t="n">
        <v>22</v>
      </c>
      <c r="E9" s="17" t="n">
        <v>6</v>
      </c>
      <c r="F9" s="17" t="n">
        <v>5</v>
      </c>
      <c r="G9" s="17" t="n">
        <v>8</v>
      </c>
      <c r="H9" s="17" t="n">
        <v>8</v>
      </c>
      <c r="I9" s="17" t="n">
        <v>7</v>
      </c>
      <c r="J9" s="17" t="n">
        <v>5</v>
      </c>
      <c r="K9" s="17" t="n">
        <v>5</v>
      </c>
    </row>
    <row r="10">
      <c r="A10" s="17" t="inlineStr">
        <is>
          <t>u_brandt</t>
        </is>
      </c>
      <c r="B10" s="17" t="n">
        <v>5</v>
      </c>
      <c r="C10" s="17" t="inlineStr">
        <is>
          <t>trained</t>
        </is>
      </c>
      <c r="D10" s="17" t="n">
        <v>23</v>
      </c>
      <c r="E10" s="17" t="n">
        <v>7</v>
      </c>
      <c r="F10" s="17" t="n">
        <v>3</v>
      </c>
      <c r="G10" s="17" t="n">
        <v>8</v>
      </c>
      <c r="H10" s="17" t="n">
        <v>7</v>
      </c>
      <c r="I10" s="17" t="n">
        <v>7</v>
      </c>
      <c r="J10" s="17" t="n">
        <v>7</v>
      </c>
      <c r="K10" s="17" t="n">
        <v>4</v>
      </c>
    </row>
    <row r="11">
      <c r="A11" s="17" t="inlineStr">
        <is>
          <t>u_solveig</t>
        </is>
      </c>
      <c r="B11" s="17" t="n">
        <v>5</v>
      </c>
      <c r="C11" s="17" t="inlineStr">
        <is>
          <t>trained</t>
        </is>
      </c>
      <c r="D11" s="17" t="n">
        <v>22</v>
      </c>
      <c r="E11" s="17" t="n">
        <v>7</v>
      </c>
      <c r="F11" s="17" t="n">
        <v>4</v>
      </c>
      <c r="G11" s="17" t="n">
        <v>8</v>
      </c>
      <c r="H11" s="17" t="n">
        <v>9</v>
      </c>
      <c r="I11" s="17" t="n">
        <v>7</v>
      </c>
      <c r="J11" s="17" t="n">
        <v>5</v>
      </c>
      <c r="K11" s="17" t="n">
        <v>5</v>
      </c>
    </row>
    <row r="12">
      <c r="A12" s="17" t="inlineStr">
        <is>
          <t>u_gunnar</t>
        </is>
      </c>
      <c r="B12" s="17" t="n">
        <v>1</v>
      </c>
      <c r="C12" s="17" t="inlineStr">
        <is>
          <t>personal</t>
        </is>
      </c>
      <c r="D12" s="17" t="n">
        <v>20</v>
      </c>
      <c r="E12" s="17" t="n">
        <v>6</v>
      </c>
      <c r="F12" s="17" t="n">
        <v>3</v>
      </c>
      <c r="G12" s="17" t="n">
        <v>7</v>
      </c>
      <c r="H12" s="17" t="n">
        <v>6</v>
      </c>
      <c r="I12" s="17" t="n">
        <v>6</v>
      </c>
      <c r="J12" s="17" t="n">
        <v>5</v>
      </c>
      <c r="K12" s="17" t="n">
        <v>4</v>
      </c>
    </row>
    <row r="13">
      <c r="A13" s="17" t="inlineStr">
        <is>
          <t>u_edda</t>
        </is>
      </c>
      <c r="B13" s="17" t="n">
        <v>1</v>
      </c>
      <c r="C13" s="17" t="inlineStr">
        <is>
          <t>personal</t>
        </is>
      </c>
      <c r="D13" s="17" t="n">
        <v>20</v>
      </c>
      <c r="E13" s="17" t="n">
        <v>5</v>
      </c>
      <c r="F13" s="17" t="n">
        <v>5</v>
      </c>
      <c r="G13" s="17" t="n">
        <v>6</v>
      </c>
      <c r="H13" s="17" t="n">
        <v>6</v>
      </c>
      <c r="I13" s="17" t="n">
        <v>8</v>
      </c>
      <c r="J13" s="17" t="n">
        <v>4</v>
      </c>
      <c r="K13" s="17" t="n">
        <v>5</v>
      </c>
    </row>
    <row r="14">
      <c r="A14" s="17" t="inlineStr">
        <is>
          <t>u_anselm</t>
        </is>
      </c>
      <c r="B14" s="17" t="n">
        <v>5</v>
      </c>
      <c r="C14" s="17" t="inlineStr">
        <is>
          <t>trained</t>
        </is>
      </c>
      <c r="D14" s="17" t="n">
        <v>22</v>
      </c>
      <c r="E14" s="17" t="n">
        <v>6</v>
      </c>
      <c r="F14" s="17" t="n">
        <v>5</v>
      </c>
      <c r="G14" s="17" t="n">
        <v>8</v>
      </c>
      <c r="H14" s="17" t="n">
        <v>8</v>
      </c>
      <c r="I14" s="17" t="n">
        <v>7</v>
      </c>
      <c r="J14" s="17" t="n">
        <v>5</v>
      </c>
      <c r="K14" s="17" t="n">
        <v>5</v>
      </c>
    </row>
    <row r="15">
      <c r="A15" s="17" t="inlineStr">
        <is>
          <t>u_kheldar</t>
        </is>
      </c>
      <c r="B15" s="17" t="n">
        <v>1</v>
      </c>
      <c r="C15" s="17" t="inlineStr">
        <is>
          <t>personal</t>
        </is>
      </c>
      <c r="D15" s="17" t="n">
        <v>20</v>
      </c>
      <c r="E15" s="17" t="n">
        <v>5</v>
      </c>
      <c r="F15" s="17" t="n">
        <v>5</v>
      </c>
      <c r="G15" s="17" t="n">
        <v>6</v>
      </c>
      <c r="H15" s="17" t="n">
        <v>6</v>
      </c>
      <c r="I15" s="17" t="n">
        <v>8</v>
      </c>
      <c r="J15" s="17" t="n">
        <v>4</v>
      </c>
      <c r="K15" s="17" t="n">
        <v>5</v>
      </c>
    </row>
    <row r="16">
      <c r="A16" s="17" t="inlineStr">
        <is>
          <t>u_dietmar</t>
        </is>
      </c>
      <c r="B16" s="17" t="n">
        <v>15</v>
      </c>
      <c r="C16" s="17" t="inlineStr">
        <is>
          <t>order</t>
        </is>
      </c>
      <c r="D16" s="17" t="n">
        <v>31</v>
      </c>
      <c r="E16" s="17" t="n">
        <v>13</v>
      </c>
      <c r="F16" s="17" t="n">
        <v>9</v>
      </c>
      <c r="G16" s="17" t="n">
        <v>15</v>
      </c>
      <c r="H16" s="17" t="n">
        <v>14</v>
      </c>
      <c r="I16" s="17" t="n">
        <v>11</v>
      </c>
      <c r="J16" s="17" t="n">
        <v>12</v>
      </c>
      <c r="K16" s="17" t="n">
        <v>10</v>
      </c>
    </row>
    <row r="17">
      <c r="A17" s="17" t="inlineStr">
        <is>
          <t>u_torvald</t>
        </is>
      </c>
      <c r="B17" s="17" t="n">
        <v>15</v>
      </c>
      <c r="C17" s="17" t="inlineStr">
        <is>
          <t>order</t>
        </is>
      </c>
      <c r="D17" s="17" t="n">
        <v>31</v>
      </c>
      <c r="E17" s="17" t="n">
        <v>13</v>
      </c>
      <c r="F17" s="17" t="n">
        <v>9</v>
      </c>
      <c r="G17" s="17" t="n">
        <v>15</v>
      </c>
      <c r="H17" s="17" t="n">
        <v>14</v>
      </c>
      <c r="I17" s="17" t="n">
        <v>11</v>
      </c>
      <c r="J17" s="17" t="n">
        <v>12</v>
      </c>
      <c r="K17" s="17" t="n">
        <v>10</v>
      </c>
    </row>
    <row r="18">
      <c r="A18" s="17" t="inlineStr">
        <is>
          <t>u_rinsa</t>
        </is>
      </c>
      <c r="B18" s="17" t="n">
        <v>5</v>
      </c>
      <c r="C18" s="17" t="inlineStr">
        <is>
          <t>personal</t>
        </is>
      </c>
      <c r="D18" s="17" t="n">
        <v>23</v>
      </c>
      <c r="E18" s="17" t="n">
        <v>8</v>
      </c>
      <c r="F18" s="17" t="n">
        <v>3</v>
      </c>
      <c r="G18" s="17" t="n">
        <v>8</v>
      </c>
      <c r="H18" s="17" t="n">
        <v>8</v>
      </c>
      <c r="I18" s="17" t="n">
        <v>7</v>
      </c>
      <c r="J18" s="17" t="n">
        <v>6</v>
      </c>
      <c r="K18" s="17" t="n">
        <v>4</v>
      </c>
    </row>
    <row r="19">
      <c r="A19" s="17" t="inlineStr">
        <is>
          <t>u_kest</t>
        </is>
      </c>
      <c r="B19" s="17" t="n">
        <v>3</v>
      </c>
      <c r="C19" s="17" t="inlineStr">
        <is>
          <t>shadow</t>
        </is>
      </c>
      <c r="D19" s="17" t="n">
        <v>20</v>
      </c>
      <c r="E19" s="17" t="n">
        <v>5</v>
      </c>
      <c r="F19" s="17" t="n">
        <v>3</v>
      </c>
      <c r="G19" s="17" t="n">
        <v>8</v>
      </c>
      <c r="H19" s="17" t="n">
        <v>9</v>
      </c>
      <c r="I19" s="17" t="n">
        <v>9</v>
      </c>
      <c r="J19" s="17" t="n">
        <v>3</v>
      </c>
      <c r="K19" s="17" t="n">
        <v>4</v>
      </c>
    </row>
    <row r="20">
      <c r="A20" s="17" t="inlineStr">
        <is>
          <t>NOTE -- draft base-stat table, review before treating as canon. Starting level per tier: trained=5 and order=15 are stated outright in classes.notes ('single aptitude, lv5+' / 'lv15+, pair-certified'); commoner=1, personal=1, shadow=3, hybrid=5, paragon=30 have no stated floor and are this session's judgment call (paragon's 30 IS stated elsewhere, kept for consistency; unused by the 18 main units' base classes either way). Per-stat formula: stat = tier_baseline[stat] + round(growths[unit's growth_profile][stat] / 20) -- so personal differentiation traces to the growth_profile data already in the workbook rather than being hand-picked per unit. The tier baseline numbers themselves (TIER_BASE in the generating script) are entirely invented -- no class stat baseline exists anywhere in canon.xlsx. Worth checking: u_dietmar and u_torvald (both order-tier, gp_jagen) come out strong-now/grows-slowly by construction, the classic pre-promoted-knight pattern -- confirm that's the intended read for them specifically. Drafted by a Claude Code session, 2026-09-16.</t>
        </is>
      </c>
    </row>
  </sheetData>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7" min="1" max="1"/>
    <col width="20" customWidth="1" style="17" min="2" max="2"/>
    <col width="8" customWidth="1" style="17" min="3" max="4"/>
    <col width="14" customWidth="1" style="17" min="5" max="5"/>
    <col width="10" customWidth="1" style="17" min="6" max="6"/>
    <col width="40" customWidth="1" style="17" min="7" max="7"/>
    <col width="12" customWidth="1" style="17" min="8" max="8"/>
    <col width="52" customWidth="1" style="17" min="9" max="9"/>
    <col width="12" customWidth="1" style="17" min="10" max="10"/>
    <col width="22" customWidth="1" style="17" min="11" max="11"/>
    <col width="14" customWidth="1" style="17" min="12" max="12"/>
    <col width="16" customWidth="1" style="17" min="13" max="14"/>
    <col width="26" customWidth="1" style="17" min="15" max="15"/>
    <col width="22" customWidth="1" style="17" min="16" max="16"/>
    <col width="12" customWidth="1" style="17" min="17" max="17"/>
    <col width="28" customWidth="1" style="17" min="18" max="18"/>
    <col width="14" customWidth="1" style="18" min="19" max="19"/>
    <col width="16" customWidth="1" style="18" min="20" max="20"/>
    <col width="16" customWidth="1" style="18" min="21" max="21"/>
  </cols>
  <sheetData>
    <row r="1" ht="30" customHeight="1" s="18">
      <c r="A1" s="21" t="inlineStr">
        <is>
          <t>map_id</t>
        </is>
      </c>
      <c r="B1" s="21" t="inlineStr">
        <is>
          <t>title</t>
        </is>
      </c>
      <c r="C1" s="21" t="inlineStr">
        <is>
          <t>width</t>
        </is>
      </c>
      <c r="D1" s="21" t="inlineStr">
        <is>
          <t>height</t>
        </is>
      </c>
      <c r="E1" s="21" t="inlineStr">
        <is>
          <t>objective_verb</t>
        </is>
      </c>
      <c r="F1" s="21" t="inlineStr">
        <is>
          <t>turn_limit</t>
        </is>
      </c>
      <c r="G1" s="21" t="inlineStr">
        <is>
          <t>terrain</t>
        </is>
      </c>
      <c r="H1" s="21" t="inlineStr">
        <is>
          <t>chapter_id</t>
        </is>
      </c>
      <c r="I1" s="21" t="inlineStr">
        <is>
          <t>design_note</t>
        </is>
      </c>
      <c r="J1" s="21" t="inlineStr">
        <is>
          <t>reuse_in_act3</t>
        </is>
      </c>
      <c r="K1" s="21" t="inlineStr">
        <is>
          <t>reinforcement_source</t>
        </is>
      </c>
      <c r="L1" s="21" t="inlineStr">
        <is>
          <t>den_capturable</t>
        </is>
      </c>
      <c r="M1" s="21" t="inlineStr">
        <is>
          <t>min_solution_units</t>
        </is>
      </c>
      <c r="N1" s="21" t="inlineStr">
        <is>
          <t>boss_gated_until_turn</t>
        </is>
      </c>
      <c r="O1" s="21" t="inlineStr">
        <is>
          <t>boss_gate_reason</t>
        </is>
      </c>
      <c r="P1" s="21" t="inlineStr">
        <is>
          <t>forced_deploy_ids</t>
        </is>
      </c>
      <c r="Q1" s="21" t="inlineStr">
        <is>
          <t>deploy_slots</t>
        </is>
      </c>
      <c r="R1" s="21" t="inlineStr">
        <is>
          <t>approaches</t>
        </is>
      </c>
      <c r="S1" s="21" t="inlineStr">
        <is>
          <t>cargo_needed</t>
        </is>
      </c>
      <c r="T1" s="21" t="inlineStr">
        <is>
          <t>enemy_polity_id</t>
        </is>
      </c>
      <c r="U1" s="21" t="inlineStr">
        <is>
          <t>breach_symbols</t>
        </is>
      </c>
    </row>
    <row r="2" ht="15" customHeight="1" s="18">
      <c r="A2" s="23" t="inlineStr">
        <is>
          <t>map_d01</t>
        </is>
      </c>
      <c r="B2" s="23" t="inlineStr">
        <is>
          <t>The tally house</t>
        </is>
      </c>
      <c r="C2" s="23" t="n">
        <v>14</v>
      </c>
      <c r="D2" s="23" t="n">
        <v>10</v>
      </c>
      <c r="E2" s="23" t="inlineStr">
        <is>
          <t>seize</t>
        </is>
      </c>
      <c r="F2" s="23" t="n">
        <v>10</v>
      </c>
      <c r="G2" s="23" t="inlineStr">
        <is>
          <t>Kaisareia docks, night</t>
        </is>
      </c>
      <c r="H2" s="23" t="inlineStr">
        <is>
          <t>ch_d01</t>
        </is>
      </c>
      <c r="I2" s="23" t="inlineStr">
        <is>
          <t>inverse-seize: reach and hold; neutral dockworkers mingle</t>
        </is>
      </c>
      <c r="J2" s="23" t="inlineStr">
        <is>
          <t>yes</t>
        </is>
      </c>
      <c r="K2" s="23" t="inlineStr">
        <is>
          <t>none</t>
        </is>
      </c>
      <c r="L2" s="23" t="inlineStr">
        <is>
          <t>no</t>
        </is>
      </c>
      <c r="M2" s="23" t="n">
        <v>2</v>
      </c>
      <c r="N2" s="23" t="n">
        <v>0</v>
      </c>
      <c r="O2" s="23" t="n"/>
      <c r="P2" s="23" t="n"/>
      <c r="Q2" s="23" t="n">
        <v>6</v>
      </c>
      <c r="R2" s="23" t="inlineStr">
        <is>
          <t>dock frontage|warehouse lane</t>
        </is>
      </c>
      <c r="T2" s="17" t="inlineStr">
        <is>
          <t>pol_assembly</t>
        </is>
      </c>
      <c r="U2" t="inlineStr">
        <is>
          <t>b</t>
        </is>
      </c>
    </row>
    <row r="3" ht="15" customHeight="1" s="18">
      <c r="A3" s="23" t="inlineStr">
        <is>
          <t>map_d02</t>
        </is>
      </c>
      <c r="B3" s="23" t="inlineStr">
        <is>
          <t>The weighbridge</t>
        </is>
      </c>
      <c r="C3" s="23" t="n">
        <v>16</v>
      </c>
      <c r="D3" s="23" t="n">
        <v>12</v>
      </c>
      <c r="E3" s="23" t="inlineStr">
        <is>
          <t>seize</t>
        </is>
      </c>
      <c r="F3" s="23" t="n">
        <v>0</v>
      </c>
      <c r="G3" s="23" t="inlineStr">
        <is>
          <t>the Vashti estates, hedgerows block riding</t>
        </is>
      </c>
      <c r="H3" s="23" t="inlineStr">
        <is>
          <t>ch_d02</t>
        </is>
      </c>
      <c r="I3" s="23" t="inlineStr">
        <is>
          <t>conscript levies flee below half HP, counted separately</t>
        </is>
      </c>
      <c r="J3" s="23" t="inlineStr">
        <is>
          <t>yes</t>
        </is>
      </c>
      <c r="K3" s="23" t="inlineStr">
        <is>
          <t>den</t>
        </is>
      </c>
      <c r="L3" s="23" t="inlineStr">
        <is>
          <t>yes</t>
        </is>
      </c>
      <c r="M3" s="23" t="n">
        <v>2</v>
      </c>
      <c r="N3" s="23" t="n">
        <v>0</v>
      </c>
      <c r="O3" s="23" t="n"/>
      <c r="P3" s="23" t="n"/>
      <c r="Q3" s="23" t="n">
        <v>8</v>
      </c>
      <c r="R3" s="23" t="inlineStr">
        <is>
          <t>hedgerow foot path|open road (riding)|the weighbridge itself</t>
        </is>
      </c>
      <c r="T3" s="17" t="inlineStr">
        <is>
          <t>pol_assembly</t>
        </is>
      </c>
    </row>
    <row r="4" ht="15" customHeight="1" s="18">
      <c r="A4" s="23" t="inlineStr">
        <is>
          <t>map_d03</t>
        </is>
      </c>
      <c r="B4" s="23" t="inlineStr">
        <is>
          <t>The grain road</t>
        </is>
      </c>
      <c r="C4" s="23" t="n">
        <v>20</v>
      </c>
      <c r="D4" s="23" t="n">
        <v>14</v>
      </c>
      <c r="E4" s="23" t="inlineStr">
        <is>
          <t>escort</t>
        </is>
      </c>
      <c r="F4" s="23" t="n">
        <v>0</v>
      </c>
      <c r="G4" s="23" t="inlineStr">
        <is>
          <t>bridge choke + southern foot-only ford</t>
        </is>
      </c>
      <c r="H4" s="23" t="inlineStr">
        <is>
          <t>ch_d03</t>
        </is>
      </c>
      <c r="I4" s="23" t="inlineStr">
        <is>
          <t>escort 2 of 3 wagons, move 4; turn 8 NE reinforcements</t>
        </is>
      </c>
      <c r="J4" s="23" t="inlineStr">
        <is>
          <t>yes</t>
        </is>
      </c>
      <c r="K4" s="23" t="inlineStr">
        <is>
          <t>den</t>
        </is>
      </c>
      <c r="L4" s="23" t="inlineStr">
        <is>
          <t>yes</t>
        </is>
      </c>
      <c r="M4" s="23" t="n">
        <v>3</v>
      </c>
      <c r="N4" s="23" t="n">
        <v>0</v>
      </c>
      <c r="O4" s="23" t="n"/>
      <c r="P4" s="23" t="n"/>
      <c r="Q4" s="23" t="n">
        <v>8</v>
      </c>
      <c r="R4" s="23" t="inlineStr">
        <is>
          <t>bridge choke|southern ford (foot only)|north bank escort line</t>
        </is>
      </c>
      <c r="S4" s="17" t="n">
        <v>2</v>
      </c>
      <c r="T4" s="17" t="inlineStr">
        <is>
          <t>pol_assembly</t>
        </is>
      </c>
    </row>
    <row r="5" ht="15" customHeight="1" s="18">
      <c r="A5" s="23" t="inlineStr">
        <is>
          <t>map_a01</t>
        </is>
      </c>
      <c r="B5" s="23" t="inlineStr">
        <is>
          <t>The winter dole</t>
        </is>
      </c>
      <c r="C5" s="23" t="n">
        <v>16</v>
      </c>
      <c r="D5" s="23" t="n">
        <v>12</v>
      </c>
      <c r="E5" s="23" t="inlineStr">
        <is>
          <t>escort</t>
        </is>
      </c>
      <c r="F5" s="23" t="n">
        <v>0</v>
      </c>
      <c r="G5" s="23" t="inlineStr">
        <is>
          <t>miasma tiles, ice slips</t>
        </is>
      </c>
      <c r="H5" s="23" t="inlineStr">
        <is>
          <t>ch_a01</t>
        </is>
      </c>
      <c r="I5" s="23" t="inlineStr">
        <is>
          <t>neutral civilians chase the cart; looters kill them if unshielded</t>
        </is>
      </c>
      <c r="J5" s="23" t="inlineStr">
        <is>
          <t>yes</t>
        </is>
      </c>
      <c r="K5" s="23" t="inlineStr">
        <is>
          <t>none</t>
        </is>
      </c>
      <c r="L5" s="23" t="inlineStr">
        <is>
          <t>no</t>
        </is>
      </c>
      <c r="M5" s="23" t="n">
        <v>2</v>
      </c>
      <c r="N5" s="23" t="n">
        <v>0</v>
      </c>
      <c r="O5" s="23" t="n"/>
      <c r="P5" s="23" t="n"/>
      <c r="Q5" s="23" t="n">
        <v>8</v>
      </c>
      <c r="R5" s="23" t="inlineStr">
        <is>
          <t>the dole road|the ice (risky, fast)</t>
        </is>
      </c>
      <c r="S5" s="17" t="n">
        <v>1</v>
      </c>
      <c r="T5" s="17" t="inlineStr">
        <is>
          <t>pol_diadem</t>
        </is>
      </c>
    </row>
    <row r="6" ht="15" customHeight="1" s="18">
      <c r="A6" s="23" t="inlineStr">
        <is>
          <t>map_a02</t>
        </is>
      </c>
      <c r="B6" s="23" t="inlineStr">
        <is>
          <t>The still night</t>
        </is>
      </c>
      <c r="C6" s="23" t="n">
        <v>18</v>
      </c>
      <c r="D6" s="23" t="n">
        <v>12</v>
      </c>
      <c r="E6" s="23" t="inlineStr">
        <is>
          <t>defend</t>
        </is>
      </c>
      <c r="F6" s="23" t="n">
        <v>8</v>
      </c>
      <c r="G6" s="23" t="inlineStr">
        <is>
          <t>three streets of differing widths, crowd tiles</t>
        </is>
      </c>
      <c r="H6" s="23" t="inlineStr">
        <is>
          <t>ch_a02</t>
        </is>
      </c>
      <c r="I6" s="23" t="inlineStr">
        <is>
          <t>preacher converts 1 townsfolk/turn; kill / answer / capture</t>
        </is>
      </c>
      <c r="J6" s="23" t="inlineStr">
        <is>
          <t>yes</t>
        </is>
      </c>
      <c r="K6" s="23" t="inlineStr">
        <is>
          <t>den</t>
        </is>
      </c>
      <c r="L6" s="23" t="inlineStr">
        <is>
          <t>yes</t>
        </is>
      </c>
      <c r="M6" s="23" t="n">
        <v>3</v>
      </c>
      <c r="N6" s="23" t="n">
        <v>0</v>
      </c>
      <c r="O6" s="23" t="n"/>
      <c r="P6" s="23" t="n"/>
      <c r="Q6" s="23" t="n">
        <v>9</v>
      </c>
      <c r="R6" s="23" t="inlineStr">
        <is>
          <t>wide street (riding)|narrow street (foot)|rooftops (flying)</t>
        </is>
      </c>
      <c r="T6" s="17" t="inlineStr">
        <is>
          <t>pol_diadem</t>
        </is>
      </c>
      <c r="U6" t="inlineStr">
        <is>
          <t>b</t>
        </is>
      </c>
    </row>
    <row r="7" ht="23.25" customHeight="1" s="18">
      <c r="A7" s="23" t="inlineStr">
        <is>
          <t>map_a03</t>
        </is>
      </c>
      <c r="B7" s="23" t="inlineStr">
        <is>
          <t>The chapterhouse</t>
        </is>
      </c>
      <c r="C7" s="23" t="n">
        <v>17</v>
      </c>
      <c r="D7" s="23" t="n">
        <v>12</v>
      </c>
      <c r="E7" s="23" t="inlineStr">
        <is>
          <t>escape</t>
        </is>
      </c>
      <c r="F7" s="23" t="n">
        <v>0</v>
      </c>
      <c r="G7" s="23" t="inlineStr">
        <is>
          <t>ruined priory, cold drains 2 HP/turn outdoors</t>
        </is>
      </c>
      <c r="H7" s="23" t="inlineStr">
        <is>
          <t>ch_a03</t>
        </is>
      </c>
      <c r="I7" s="23" t="inlineStr">
        <is>
          <t>relic hunters reinforce every 3 turns forever; reliquary take-or-give</t>
        </is>
      </c>
      <c r="J7" s="23" t="inlineStr">
        <is>
          <t>yes</t>
        </is>
      </c>
      <c r="K7" s="23" t="inlineStr">
        <is>
          <t>den</t>
        </is>
      </c>
      <c r="L7" s="23" t="inlineStr">
        <is>
          <t>yes</t>
        </is>
      </c>
      <c r="M7" s="23" t="n">
        <v>2</v>
      </c>
      <c r="N7" s="23" t="n">
        <v>0</v>
      </c>
      <c r="O7" s="23" t="n"/>
      <c r="P7" s="23" t="n"/>
      <c r="Q7" s="23" t="n">
        <v>9</v>
      </c>
      <c r="R7" s="23" t="inlineStr">
        <is>
          <t>cloister (indoors, no cold)|open ward (fast, costly)</t>
        </is>
      </c>
      <c r="T7" s="17" t="inlineStr">
        <is>
          <t>pol_diadem</t>
        </is>
      </c>
    </row>
    <row r="8" ht="23.25" customHeight="1" s="18">
      <c r="A8" s="23" t="inlineStr">
        <is>
          <t>map_x11</t>
        </is>
      </c>
      <c r="B8" s="23" t="inlineStr">
        <is>
          <t>The Second Writ</t>
        </is>
      </c>
      <c r="C8" s="23" t="n">
        <v>24</v>
      </c>
      <c r="D8" s="23" t="n">
        <v>16</v>
      </c>
      <c r="E8" s="23" t="inlineStr">
        <is>
          <t>escort</t>
        </is>
      </c>
      <c r="F8" s="23" t="n">
        <v>9</v>
      </c>
      <c r="G8" s="23" t="inlineStr">
        <is>
          <t>muster field, river with two crossings</t>
        </is>
      </c>
      <c r="H8" s="23" t="inlineStr">
        <is>
          <t>ch_x11</t>
        </is>
      </c>
      <c r="I8" s="23" t="inlineStr">
        <is>
          <t>two simultaneous timed objectives at opposite edges; one force cannot do both</t>
        </is>
      </c>
      <c r="J8" s="23" t="inlineStr">
        <is>
          <t>no</t>
        </is>
      </c>
      <c r="K8" s="23" t="inlineStr">
        <is>
          <t>den</t>
        </is>
      </c>
      <c r="L8" s="23" t="inlineStr">
        <is>
          <t>yes</t>
        </is>
      </c>
      <c r="M8" s="23" t="n">
        <v>4</v>
      </c>
      <c r="N8" s="23" t="n">
        <v>0</v>
      </c>
      <c r="O8" s="23" t="n"/>
      <c r="P8" s="23" t="n"/>
      <c r="Q8" s="23" t="n">
        <v>99</v>
      </c>
      <c r="R8" s="23" t="inlineStr">
        <is>
          <t>west crossing|east crossing</t>
        </is>
      </c>
    </row>
    <row r="9" ht="23.25" customHeight="1" s="18">
      <c r="A9" s="23" t="inlineStr">
        <is>
          <t>map_b15</t>
        </is>
      </c>
      <c r="B9" s="23" t="inlineStr">
        <is>
          <t>The going rate</t>
        </is>
      </c>
      <c r="C9" s="23" t="n">
        <v>18</v>
      </c>
      <c r="D9" s="23" t="n">
        <v>14</v>
      </c>
      <c r="E9" s="23" t="inlineStr">
        <is>
          <t>purchase</t>
        </is>
      </c>
      <c r="F9" s="23" t="n">
        <v>0</v>
      </c>
      <c r="G9" s="23" t="inlineStr">
        <is>
          <t>caravanserai; awnings block flight, arcade blocks bows</t>
        </is>
      </c>
      <c r="H9" s="23" t="inlineStr">
        <is>
          <t>ch_b15</t>
        </is>
      </c>
      <c r="I9" s="23" t="inlineStr">
        <is>
          <t>prices rise per turn a fight is visible; preachers convert green levies</t>
        </is>
      </c>
      <c r="J9" s="23" t="inlineStr">
        <is>
          <t>no</t>
        </is>
      </c>
      <c r="K9" s="23" t="inlineStr">
        <is>
          <t>none</t>
        </is>
      </c>
      <c r="L9" s="23" t="inlineStr">
        <is>
          <t>no</t>
        </is>
      </c>
      <c r="M9" s="23" t="n">
        <v>3</v>
      </c>
      <c r="N9" s="23" t="n">
        <v>0</v>
      </c>
      <c r="O9" s="23" t="n"/>
      <c r="P9" s="23" t="n"/>
      <c r="Q9" s="23" t="n">
        <v>8</v>
      </c>
      <c r="R9" s="23" t="inlineStr">
        <is>
          <t>the arcade (blocks bows)|the open bazaar|the porters' alley</t>
        </is>
      </c>
    </row>
    <row r="10" ht="79.5" customHeight="1" s="18">
      <c r="A10" s="23" t="inlineStr">
        <is>
          <t>map_d05</t>
        </is>
      </c>
      <c r="B10" s="23" t="inlineStr">
        <is>
          <t>The grain fleet</t>
        </is>
      </c>
      <c r="C10" s="23" t="n">
        <v>22</v>
      </c>
      <c r="D10" s="23" t="n">
        <v>12</v>
      </c>
      <c r="E10" s="23" t="inlineStr">
        <is>
          <t>survive</t>
        </is>
      </c>
      <c r="F10" s="23" t="n">
        <v>10</v>
      </c>
      <c r="G10" s="23" t="inlineStr">
        <is>
          <t>three lashed decks; open water at every edge; no terrain to hide behind</t>
        </is>
      </c>
      <c r="H10" s="23" t="inlineStr">
        <is>
          <t>ch_d05</t>
        </is>
      </c>
      <c r="I10" s="23" t="inlineStr">
        <is>
          <t>VOYAGE not battle: the fleet is under way and the objective is landfall. Privateers board from the map edges. GRAPPLE LINES ARE THE DENS -- each is a capturable structure that stops producing when cut, so boarding is an objective, not an ambush. Fliers dominant, riding impossible, armor sinks if it goes over the side. The Assembly could not build this fleet, so it bought one; the privateers were paid for in Anbar.</t>
        </is>
      </c>
      <c r="J10" s="23" t="inlineStr">
        <is>
          <t>no</t>
        </is>
      </c>
      <c r="K10" s="23" t="inlineStr">
        <is>
          <t>den</t>
        </is>
      </c>
      <c r="L10" s="23" t="inlineStr">
        <is>
          <t>yes</t>
        </is>
      </c>
      <c r="M10" s="23" t="n">
        <v>3</v>
      </c>
      <c r="N10" s="23" t="n">
        <v>0</v>
      </c>
      <c r="O10" s="23" t="n"/>
      <c r="P10" s="23" t="n"/>
      <c r="Q10" s="23" t="n">
        <v>10</v>
      </c>
      <c r="R10" s="23" t="inlineStr">
        <is>
          <t>the weather deck|below, through the hold|the rigging (flying only)</t>
        </is>
      </c>
      <c r="T10" s="17" t="inlineStr">
        <is>
          <t>pol_assembly</t>
        </is>
      </c>
    </row>
    <row r="11" ht="15" customHeight="1" s="18">
      <c r="A11" s="23" t="inlineStr">
        <is>
          <t>map_f00</t>
        </is>
      </c>
      <c r="B11" s="23" t="inlineStr">
        <is>
          <t>Ur-Nashet, the last night</t>
        </is>
      </c>
      <c r="C11" s="23" t="n">
        <v>24</v>
      </c>
      <c r="D11" s="23" t="n">
        <v>16</v>
      </c>
      <c r="E11" s="23" t="inlineStr">
        <is>
          <t>seize</t>
        </is>
      </c>
      <c r="F11" s="23" t="n">
        <v>0</v>
      </c>
      <c r="G11" s="23" t="inlineStr">
        <is>
          <t>hanging gardens in rain: stepped terraces (+1 cost when wet), irrigation channels, one aqueduct span</t>
        </is>
      </c>
      <c r="H11" s="23" t="inlineStr">
        <is>
          <t>ch_f00</t>
        </is>
      </c>
      <c r="I11" s="23" t="inlineStr">
        <is>
          <t>PROLOGUE. Breaks the map laws on purpose -- a flashback is a memory, and memories are unreliable in the direction of making you look stronger than you were. No permadeath, no dens, no requisition, no forge, one weapon each, no repair. The garrison is fatigued and not a threat. The living patron stands over the temple terrace, never moves, never attacks, has no health bar, and watches. It goes still only AFTER the image is rubble and the scribe writes -- you cannot write down a god that people can still see.</t>
        </is>
      </c>
      <c r="J11" s="23" t="inlineStr">
        <is>
          <t>no</t>
        </is>
      </c>
      <c r="K11" s="23" t="inlineStr">
        <is>
          <t>none</t>
        </is>
      </c>
      <c r="L11" s="23" t="inlineStr">
        <is>
          <t>no</t>
        </is>
      </c>
      <c r="M11" s="23" t="n">
        <v>7</v>
      </c>
      <c r="N11" s="23" t="n">
        <v>0</v>
      </c>
      <c r="O11" s="23" t="n"/>
      <c r="P11" s="23" t="n"/>
      <c r="Q11" s="23" t="n">
        <v>8</v>
      </c>
      <c r="R11" s="23" t="inlineStr">
        <is>
          <t>the terraces (foot)|the aqueduct span (one tile)|the channels (flying only)</t>
        </is>
      </c>
    </row>
    <row r="12">
      <c r="A12" s="23" t="inlineStr">
        <is>
          <t>map_v21</t>
        </is>
      </c>
      <c r="B12" s="23" t="inlineStr">
        <is>
          <t>The Unstained Seat</t>
        </is>
      </c>
      <c r="C12" s="23" t="n">
        <v>18</v>
      </c>
      <c r="D12" s="23" t="n">
        <v>12</v>
      </c>
      <c r="E12" s="23" t="inlineStr">
        <is>
          <t>seize</t>
        </is>
      </c>
      <c r="F12" s="23" t="n">
        <v>0</v>
      </c>
      <c r="G12" s="23" t="inlineStr">
        <is>
          <t>Vashti, in the Ashland -- volcanic ash flats and an old stone road</t>
        </is>
      </c>
      <c r="H12" s="23" t="inlineStr">
        <is>
          <t>ch_v21</t>
        </is>
      </c>
      <c r="I12" s="23" t="inlineStr">
        <is>
          <t>Terrain/encounter_spawns/scene built (Act2 fleshing-out pass). Satisfies sects.sect_vashti's declared act2_chapter_count=2. 'no talk conversations available on their seat map' (sect_vashti's own notes) -- combat only, no dialogue resolution path.</t>
        </is>
      </c>
      <c r="J12" s="23" t="inlineStr">
        <is>
          <t>yes</t>
        </is>
      </c>
      <c r="K12" s="23" t="inlineStr">
        <is>
          <t>den</t>
        </is>
      </c>
      <c r="L12" s="23" t="inlineStr">
        <is>
          <t>yes</t>
        </is>
      </c>
      <c r="M12" s="23" t="n">
        <v>2</v>
      </c>
      <c r="N12" s="23" t="n">
        <v>0</v>
      </c>
      <c r="O12" s="23" t="n"/>
      <c r="P12" s="23" t="n"/>
      <c r="Q12" s="23" t="n">
        <v>8</v>
      </c>
      <c r="R12" s="23" t="inlineStr">
        <is>
          <t>ash flats (foot)|the old road (riding)</t>
        </is>
      </c>
      <c r="T12" s="17" t="inlineStr">
        <is>
          <t>pol_assembly</t>
        </is>
      </c>
    </row>
    <row r="13" ht="15" customHeight="1" s="18">
      <c r="A13" s="23" t="inlineStr">
        <is>
          <t>map_v22</t>
        </is>
      </c>
      <c r="B13" s="23" t="inlineStr">
        <is>
          <t>Re-Made Clean</t>
        </is>
      </c>
      <c r="C13" s="23" t="n">
        <v>16</v>
      </c>
      <c r="D13" s="23" t="n">
        <v>12</v>
      </c>
      <c r="E13" s="23" t="inlineStr">
        <is>
          <t>defend</t>
        </is>
      </c>
      <c r="F13" s="23" t="n">
        <v>8</v>
      </c>
      <c r="G13" s="23" t="inlineStr">
        <is>
          <t>a shrine mid-reconsecration, complicit hands scrubbed from its stones</t>
        </is>
      </c>
      <c r="H13" s="23" t="inlineStr">
        <is>
          <t>ch_v22</t>
        </is>
      </c>
      <c r="I13" s="23" t="inlineStr">
        <is>
          <t>Terrain/encounter_spawns/scene built (Act2 fleshing-out pass). See map_v21's own note. Defend shape grounded in sect_vashti's doctrine: 'sacraments from complicit hands are void; the veneration must be re-made clean' -- the ritual itself is the thing being protected.</t>
        </is>
      </c>
      <c r="J13" s="23" t="inlineStr">
        <is>
          <t>yes</t>
        </is>
      </c>
      <c r="K13" s="23" t="inlineStr">
        <is>
          <t>den</t>
        </is>
      </c>
      <c r="L13" s="23" t="inlineStr">
        <is>
          <t>yes</t>
        </is>
      </c>
      <c r="M13" s="23" t="n">
        <v>2</v>
      </c>
      <c r="N13" s="23" t="n">
        <v>0</v>
      </c>
      <c r="O13" s="23" t="n"/>
      <c r="P13" s="23" t="n"/>
      <c r="Q13" s="23" t="n">
        <v>8</v>
      </c>
      <c r="R13" s="23" t="inlineStr">
        <is>
          <t>the nave (foot)|the cloister walk (flying blocked)</t>
        </is>
      </c>
      <c r="T13" s="17" t="inlineStr">
        <is>
          <t>pol_assembly</t>
        </is>
      </c>
    </row>
    <row r="14" ht="15" customHeight="1" s="18">
      <c r="A14" s="23" t="inlineStr">
        <is>
          <t>map_c21</t>
        </is>
      </c>
      <c r="B14" s="23" t="inlineStr">
        <is>
          <t>The Vetch Reunion</t>
        </is>
      </c>
      <c r="C14" s="23" t="n">
        <v>18</v>
      </c>
      <c r="D14" s="23" t="n">
        <v>12</v>
      </c>
      <c r="E14" s="23" t="inlineStr">
        <is>
          <t>defend</t>
        </is>
      </c>
      <c r="F14" s="23" t="n">
        <v>6</v>
      </c>
      <c r="G14" s="23" t="inlineStr">
        <is>
          <t>a homecoming hall at Vetch, sect_court's alternate seat</t>
        </is>
      </c>
      <c r="H14" s="23" t="inlineStr">
        <is>
          <t>ch_c21</t>
        </is>
      </c>
      <c r="I14" s="23" t="inlineStr">
        <is>
          <t>Terrain/encounter_spawns/scene built (Act2 fleshing-out pass). Satisfies sects.sect_court's declared act2_chapter_count=1. Taken directly from sect_court's own notes: 'grows the Grand Inquisitor; home-front thread, ambushes at reunion.'</t>
        </is>
      </c>
      <c r="J14" s="23" t="inlineStr">
        <is>
          <t>yes</t>
        </is>
      </c>
      <c r="K14" s="23" t="inlineStr">
        <is>
          <t>den</t>
        </is>
      </c>
      <c r="L14" s="23" t="inlineStr">
        <is>
          <t>yes</t>
        </is>
      </c>
      <c r="M14" s="23" t="n">
        <v>2</v>
      </c>
      <c r="N14" s="23" t="n">
        <v>0</v>
      </c>
      <c r="O14" s="23" t="n"/>
      <c r="P14" s="23" t="n"/>
      <c r="Q14" s="23" t="n">
        <v>8</v>
      </c>
      <c r="R14" s="23" t="inlineStr">
        <is>
          <t>the hall (foot)|the courtyard (riding)</t>
        </is>
      </c>
    </row>
    <row r="15">
      <c r="A15" s="23" t="inlineStr">
        <is>
          <t>map_m21</t>
        </is>
      </c>
      <c r="B15" s="23" t="inlineStr">
        <is>
          <t>The Drowned March</t>
        </is>
      </c>
      <c r="C15" s="23" t="n">
        <v>20</v>
      </c>
      <c r="D15" s="23" t="n">
        <v>14</v>
      </c>
      <c r="E15" s="23" t="inlineStr">
        <is>
          <t>escort</t>
        </is>
      </c>
      <c r="F15" s="23" t="n">
        <v>0</v>
      </c>
      <c r="G15" s="23" t="inlineStr">
        <is>
          <t>flooded lowlands, the Continuing Word's seat -- title is the seat name verbatim</t>
        </is>
      </c>
      <c r="H15" s="23" t="inlineStr">
        <is>
          <t>ch_m21</t>
        </is>
      </c>
      <c r="I15" s="23" t="inlineStr">
        <is>
          <t>Terrain/encounter_spawns/scene built (Act2 fleshing-out pass). One of two chapters satisfying sects.sect_march's declared act2_chapter_count=2. sect_march's own notes: 'new scripture is still arriving, dictated, in progress -- chapters can be added between the player's Act 2 visits' and 'Prophecy NPCs convert green levies' (same unmodeled conversion mechanic as map_a02/map_b15, not a new system).</t>
        </is>
      </c>
      <c r="J15" s="23" t="inlineStr">
        <is>
          <t>yes</t>
        </is>
      </c>
      <c r="K15" s="23" t="inlineStr">
        <is>
          <t>den</t>
        </is>
      </c>
      <c r="L15" s="23" t="inlineStr">
        <is>
          <t>yes</t>
        </is>
      </c>
      <c r="M15" s="23" t="n">
        <v>3</v>
      </c>
      <c r="N15" s="23" t="n">
        <v>0</v>
      </c>
      <c r="O15" s="23" t="n"/>
      <c r="P15" s="23" t="n"/>
      <c r="Q15" s="23" t="n">
        <v>8</v>
      </c>
      <c r="R15" s="23" t="inlineStr">
        <is>
          <t>the causeway (foot)|open floodwater (flying only)</t>
        </is>
      </c>
      <c r="T15" s="17" t="inlineStr">
        <is>
          <t>pol_diadem</t>
        </is>
      </c>
    </row>
    <row r="16">
      <c r="A16" s="23" t="inlineStr">
        <is>
          <t>map_m22</t>
        </is>
      </c>
      <c r="B16" s="23" t="inlineStr">
        <is>
          <t>The Same Archive</t>
        </is>
      </c>
      <c r="C16" s="23" t="n">
        <v>16</v>
      </c>
      <c r="D16" s="23" t="n">
        <v>12</v>
      </c>
      <c r="E16" s="23" t="inlineStr">
        <is>
          <t>defend</t>
        </is>
      </c>
      <c r="F16" s="23" t="n">
        <v>8</v>
      </c>
      <c r="G16" s="23" t="inlineStr">
        <is>
          <t>a parish-records archive both prophets and crown clerks are working</t>
        </is>
      </c>
      <c r="H16" s="23" t="inlineStr">
        <is>
          <t>ch_m22</t>
        </is>
      </c>
      <c r="I16" s="23" t="inlineStr">
        <is>
          <t>Terrain/encounter_spawns/scene built (Act2 fleshing-out pass). See map_m21's own note, second of sect_march's two declared chapters. Grounded in sect_march's own notes: 'rebaptising the dead by name off the parish lists... puts the prophets and the crown's clerks in the same archive for opposite reasons.'</t>
        </is>
      </c>
      <c r="J16" s="23" t="inlineStr">
        <is>
          <t>yes</t>
        </is>
      </c>
      <c r="K16" s="23" t="inlineStr">
        <is>
          <t>none</t>
        </is>
      </c>
      <c r="L16" s="23" t="inlineStr">
        <is>
          <t>no</t>
        </is>
      </c>
      <c r="M16" s="23" t="n">
        <v>2</v>
      </c>
      <c r="N16" s="23" t="n">
        <v>0</v>
      </c>
      <c r="O16" s="23" t="n"/>
      <c r="P16" s="23" t="n"/>
      <c r="Q16" s="23" t="n">
        <v>8</v>
      </c>
      <c r="R16" s="23" t="inlineStr">
        <is>
          <t>the reading room (foot)|the stacks (foot only)</t>
        </is>
      </c>
      <c r="T16" s="17" t="inlineStr">
        <is>
          <t>pol_diadem</t>
        </is>
      </c>
    </row>
    <row r="17">
      <c r="A17" s="23" t="inlineStr">
        <is>
          <t>map_r16</t>
        </is>
      </c>
      <c r="B17" s="23" t="inlineStr">
        <is>
          <t>The Toll League</t>
        </is>
      </c>
      <c r="C17" s="23" t="n">
        <v>20</v>
      </c>
      <c r="D17" s="23" t="n">
        <v>14</v>
      </c>
      <c r="E17" s="23" t="inlineStr">
        <is>
          <t>purchase</t>
        </is>
      </c>
      <c r="F17" s="23" t="n">
        <v>0</v>
      </c>
      <c r="G17" s="23" t="inlineStr">
        <is>
          <t>the Company of the Road's sovereign toll-city</t>
        </is>
      </c>
      <c r="H17" s="23" t="inlineStr">
        <is>
          <t>ch_r16</t>
        </is>
      </c>
      <c r="I17" s="23" t="inlineStr">
        <is>
          <t>Terrain/encounter_spawns/scene built (Act2 fleshing-out pass). Satisfies sects.sect_road's declared act2_chapter_count=2 (map_b15 is the first). Title is sect_road's own sovereign seat name. Reuses map_b15's 'purchase' objective_verb -- 'redemption is a purchase word' is this sect's own doctrine, not a coincidence.</t>
        </is>
      </c>
      <c r="J17" s="23" t="inlineStr">
        <is>
          <t>yes</t>
        </is>
      </c>
      <c r="K17" s="23" t="inlineStr">
        <is>
          <t>none</t>
        </is>
      </c>
      <c r="L17" s="23" t="inlineStr">
        <is>
          <t>no</t>
        </is>
      </c>
      <c r="M17" s="23" t="n">
        <v>3</v>
      </c>
      <c r="N17" s="23" t="n">
        <v>0</v>
      </c>
      <c r="O17" s="23" t="n"/>
      <c r="P17" s="23" t="n"/>
      <c r="Q17" s="23" t="n">
        <v>8</v>
      </c>
      <c r="R17" s="23" t="inlineStr">
        <is>
          <t>the toll road (riding)|the counting house (foot)</t>
        </is>
      </c>
    </row>
    <row r="18">
      <c r="A18" s="23" t="inlineStr">
        <is>
          <t>map_e31</t>
        </is>
      </c>
      <c r="B18" s="23" t="inlineStr">
        <is>
          <t>The Ledger Comes Due</t>
        </is>
      </c>
      <c r="C18" s="23" t="n">
        <v>22</v>
      </c>
      <c r="D18" s="23" t="n">
        <v>16</v>
      </c>
      <c r="E18" s="23" t="inlineStr">
        <is>
          <t>defend</t>
        </is>
      </c>
      <c r="F18" s="23" t="n">
        <v>10</v>
      </c>
      <c r="G18" s="23" t="inlineStr">
        <is>
          <t>the Company of the Road's home ground, tallying what's owed</t>
        </is>
      </c>
      <c r="H18" s="23" t="inlineStr">
        <is>
          <t>ch_e31</t>
        </is>
      </c>
      <c r="I18" s="23" t="inlineStr">
        <is>
          <t>Terrain/encounter_spawns/scene built (Act3 fleshing-out pass). Buildup chapter for the Enlightened One's ascension fork (sect_road, CANON per the_claimant). MAP LAWS' 20x25-30x20 Act 3 sizing band is aimed for loosely, not hit exactly, for a skeleton pass.</t>
        </is>
      </c>
      <c r="J18" s="23" t="inlineStr">
        <is>
          <t>no</t>
        </is>
      </c>
      <c r="K18" s="23" t="inlineStr">
        <is>
          <t>den</t>
        </is>
      </c>
      <c r="L18" s="23" t="inlineStr">
        <is>
          <t>yes</t>
        </is>
      </c>
      <c r="M18" s="23" t="n">
        <v>3</v>
      </c>
      <c r="N18" s="23" t="n">
        <v>0</v>
      </c>
      <c r="O18" s="23" t="n"/>
      <c r="P18" s="23" t="n"/>
      <c r="Q18" s="23" t="n">
        <v>9</v>
      </c>
      <c r="R18" s="23" t="inlineStr">
        <is>
          <t>the counting floor (foot)|the loading yard (riding)</t>
        </is>
      </c>
    </row>
    <row r="19">
      <c r="A19" s="23" t="inlineStr">
        <is>
          <t>map_e32_sanctified</t>
        </is>
      </c>
      <c r="B19" s="23" t="inlineStr">
        <is>
          <t>Sanctification</t>
        </is>
      </c>
      <c r="C19" s="23" t="n">
        <v>26</v>
      </c>
      <c r="D19" s="23" t="n">
        <v>18</v>
      </c>
      <c r="E19" s="23" t="inlineStr">
        <is>
          <t>defend</t>
        </is>
      </c>
      <c r="F19" s="23" t="n">
        <v>0</v>
      </c>
      <c r="G19" s="23" t="inlineStr">
        <is>
          <t>the deposed patrons of the Hundred Cities, made legion -- ranks assembled, not born</t>
        </is>
      </c>
      <c r="H19" s="23" t="inlineStr">
        <is>
          <t>ch_e32_sanctified</t>
        </is>
      </c>
      <c r="I19" s="23" t="inlineStr">
        <is>
          <t>Terrain/encounter_spawns/scene built (Act3 fleshing-out pass). end_sanctified terminal: 'NOT a boss fight against him. The party fights the deposed patrons of the Hundred Cities -- the full Lesser Key roster, ranks and legions made literal and playable for the first time -- as they resist being absorbed.' No specific roster is invented here -- that's real future content (a Lesser Key enemy set), not stubbed in this pass.</t>
        </is>
      </c>
      <c r="J19" s="23" t="inlineStr">
        <is>
          <t>no</t>
        </is>
      </c>
      <c r="K19" s="23" t="inlineStr">
        <is>
          <t>den</t>
        </is>
      </c>
      <c r="L19" s="23" t="inlineStr">
        <is>
          <t>yes</t>
        </is>
      </c>
      <c r="M19" s="23" t="n">
        <v>4</v>
      </c>
      <c r="N19" s="23" t="n">
        <v>0</v>
      </c>
      <c r="O19" s="23" t="n"/>
      <c r="P19" s="23" t="n"/>
      <c r="Q19" s="23" t="n">
        <v>10</v>
      </c>
      <c r="R19" s="23" t="inlineStr">
        <is>
          <t>the processional (foot)|the high road (riding)|open sky (flying)</t>
        </is>
      </c>
    </row>
    <row r="20">
      <c r="A20" s="23" t="inlineStr">
        <is>
          <t>map_e32_perverse</t>
        </is>
      </c>
      <c r="B20" s="23" t="inlineStr">
        <is>
          <t>The Idol</t>
        </is>
      </c>
      <c r="C20" s="23" t="n">
        <v>24</v>
      </c>
      <c r="D20" s="23" t="n">
        <v>18</v>
      </c>
      <c r="E20" s="23" t="inlineStr">
        <is>
          <t>seize</t>
        </is>
      </c>
      <c r="F20" s="23" t="n">
        <v>0</v>
      </c>
      <c r="G20" s="23" t="inlineStr">
        <is>
          <t>assembled from what was taken -- a false godhood given a body</t>
        </is>
      </c>
      <c r="H20" s="23" t="inlineStr">
        <is>
          <t>ch_e32_perverse</t>
        </is>
      </c>
      <c r="I20" s="23" t="inlineStr">
        <is>
          <t>Terrain/encounter_spawns/scene built (Act3 fleshing-out pass). end_perverse terminal: 'the party fights HIM directly. VISUAL CONVERGENCE WITH THE IDOL, deliberate.' No reinforcement den -- this reads as a direct, personal fight per that same text, not an attritional one.</t>
        </is>
      </c>
      <c r="J20" s="23" t="inlineStr">
        <is>
          <t>no</t>
        </is>
      </c>
      <c r="K20" s="23" t="inlineStr">
        <is>
          <t>none</t>
        </is>
      </c>
      <c r="L20" s="23" t="inlineStr">
        <is>
          <t>no</t>
        </is>
      </c>
      <c r="M20" s="23" t="n">
        <v>2</v>
      </c>
      <c r="N20" s="23" t="n">
        <v>0</v>
      </c>
      <c r="O20" s="23" t="n"/>
      <c r="P20" s="23" t="n"/>
      <c r="Q20" s="23" t="n">
        <v>9</v>
      </c>
      <c r="R20" s="23" t="inlineStr">
        <is>
          <t>the approach (foot)|the colossus itself (any)</t>
        </is>
      </c>
    </row>
    <row r="21">
      <c r="A21" s="23" t="inlineStr">
        <is>
          <t>map_h31</t>
        </is>
      </c>
      <c r="B21" s="23" t="inlineStr">
        <is>
          <t>The Capture</t>
        </is>
      </c>
      <c r="C21" s="23" t="n">
        <v>22</v>
      </c>
      <c r="D21" s="23" t="n">
        <v>16</v>
      </c>
      <c r="E21" s="23" t="inlineStr">
        <is>
          <t>seize</t>
        </is>
      </c>
      <c r="F21" s="23" t="n">
        <v>0</v>
      </c>
      <c r="G21" s="23" t="inlineStr">
        <is>
          <t>a literal conquest -- march, forced conversion, crusade logic, not economic absorption</t>
        </is>
      </c>
      <c r="H21" s="23" t="inlineStr">
        <is>
          <t>ch_h31</t>
        </is>
      </c>
      <c r="I21" s="23" t="inlineStr">
        <is>
          <t>Terrain/encounter_spawns/scene built (Act3 fleshing-out pass). end_hierophant's shared lead-up: 'the defense scenario is a literal conquest.' sect_id on ch_h31 is resolved to sect_march -- see the_hierophant tab.</t>
        </is>
      </c>
      <c r="J21" s="23" t="inlineStr">
        <is>
          <t>no</t>
        </is>
      </c>
      <c r="K21" s="23" t="inlineStr">
        <is>
          <t>den</t>
        </is>
      </c>
      <c r="L21" s="23" t="inlineStr">
        <is>
          <t>yes</t>
        </is>
      </c>
      <c r="M21" s="23" t="n">
        <v>3</v>
      </c>
      <c r="N21" s="23" t="n">
        <v>0</v>
      </c>
      <c r="O21" s="23" t="n"/>
      <c r="P21" s="23" t="n"/>
      <c r="Q21" s="23" t="n">
        <v>9</v>
      </c>
      <c r="R21" s="23" t="inlineStr">
        <is>
          <t>the muster line (foot)|the siege road (riding)</t>
        </is>
      </c>
    </row>
    <row r="22">
      <c r="A22" s="23" t="inlineStr">
        <is>
          <t>map_h33_mercy</t>
        </is>
      </c>
      <c r="B22" s="23" t="inlineStr">
        <is>
          <t>Subterfuge</t>
        </is>
      </c>
      <c r="C22" s="23" t="n">
        <v>20</v>
      </c>
      <c r="D22" s="23" t="n">
        <v>14</v>
      </c>
      <c r="E22" s="23" t="inlineStr">
        <is>
          <t>seize</t>
        </is>
      </c>
      <c r="F22" s="23" t="n">
        <v>0</v>
      </c>
      <c r="G22" s="23" t="inlineStr">
        <is>
          <t>the movement gone underground, finishing what mercy interrupted</t>
        </is>
      </c>
      <c r="H22" s="23" t="inlineStr">
        <is>
          <t>ch_h33_mercy</t>
        </is>
      </c>
      <c r="I22" s="23" t="inlineStr">
        <is>
          <t>Terrain/encounter_spawns/scene built (Act3 fleshing-out pass). end_hierophant_mercy terminal: 'the movement goes underground and finishes what got interrupted -- A SECOND, LATER BATTLE... deliberately convergent iconography with end_perverse and the Idol' -- worth a visual callback to map_e32_perverse whenever this gets built past skeleton.</t>
        </is>
      </c>
      <c r="J22" s="23" t="inlineStr">
        <is>
          <t>no</t>
        </is>
      </c>
      <c r="K22" s="23" t="inlineStr">
        <is>
          <t>den</t>
        </is>
      </c>
      <c r="L22" s="23" t="inlineStr">
        <is>
          <t>yes</t>
        </is>
      </c>
      <c r="M22" s="23" t="n">
        <v>2</v>
      </c>
      <c r="N22" s="23" t="n">
        <v>0</v>
      </c>
      <c r="O22" s="23" t="n"/>
      <c r="P22" s="23" t="n"/>
      <c r="Q22" s="23" t="n">
        <v>8</v>
      </c>
      <c r="R22" s="23" t="inlineStr">
        <is>
          <t>the hidden approach (foot)|the open field (riding)</t>
        </is>
      </c>
    </row>
    <row r="23">
      <c r="A23" s="23" t="inlineStr">
        <is>
          <t>map_h34_war1</t>
        </is>
      </c>
      <c r="B23" s="23" t="inlineStr">
        <is>
          <t>The War: First Front</t>
        </is>
      </c>
      <c r="C23" s="23" t="n">
        <v>20</v>
      </c>
      <c r="D23" s="23" t="n">
        <v>14</v>
      </c>
      <c r="E23" s="23" t="inlineStr">
        <is>
          <t>survive</t>
        </is>
      </c>
      <c r="F23" s="23" t="n">
        <v>10</v>
      </c>
      <c r="G23" s="23" t="inlineStr">
        <is>
          <t>a region allied an act ago, now fractured -- attritional, not climactic</t>
        </is>
      </c>
      <c r="H23" s="23" t="inlineStr">
        <is>
          <t>ch_h34_war1</t>
        </is>
      </c>
      <c r="I23" s="23" t="inlineStr">
        <is>
          <t>Terrain/encounter_spawns/scene built (Act3 fleshing-out pass). end_hierophant_execution terminal: 'not one climactic fight -- several chapters of costly, attritional maps against regions and sects that were allied or neutral an act ago, now fractured.' First of 3 invented War chapters -- see ch_h34_war1's own chapter note on the count.</t>
        </is>
      </c>
      <c r="J23" s="23" t="inlineStr">
        <is>
          <t>no</t>
        </is>
      </c>
      <c r="K23" s="23" t="inlineStr">
        <is>
          <t>den</t>
        </is>
      </c>
      <c r="L23" s="23" t="inlineStr">
        <is>
          <t>yes</t>
        </is>
      </c>
      <c r="M23" s="23" t="n">
        <v>3</v>
      </c>
      <c r="N23" s="23" t="n">
        <v>0</v>
      </c>
      <c r="O23" s="23" t="n"/>
      <c r="P23" s="23" t="n"/>
      <c r="Q23" s="23" t="n">
        <v>8</v>
      </c>
      <c r="R23" s="23" t="inlineStr">
        <is>
          <t>the front line (foot)|the flank road (riding)</t>
        </is>
      </c>
    </row>
    <row r="24">
      <c r="A24" s="23" t="inlineStr">
        <is>
          <t>map_h34_war2</t>
        </is>
      </c>
      <c r="B24" s="23" t="inlineStr">
        <is>
          <t>The War: Second Front</t>
        </is>
      </c>
      <c r="C24" s="23" t="n">
        <v>20</v>
      </c>
      <c r="D24" s="23" t="n">
        <v>14</v>
      </c>
      <c r="E24" s="23" t="inlineStr">
        <is>
          <t>survive</t>
        </is>
      </c>
      <c r="F24" s="23" t="n">
        <v>10</v>
      </c>
      <c r="G24" s="23" t="inlineStr">
        <is>
          <t>another fractured region, the war widening</t>
        </is>
      </c>
      <c r="H24" s="23" t="inlineStr">
        <is>
          <t>ch_h34_war2</t>
        </is>
      </c>
      <c r="I24" s="23" t="inlineStr">
        <is>
          <t>Terrain/encounter_spawns/scene built (Act3 fleshing-out pass). Second of 3 invented War chapters -- see map_h34_war1's note.</t>
        </is>
      </c>
      <c r="J24" s="23" t="inlineStr">
        <is>
          <t>no</t>
        </is>
      </c>
      <c r="K24" s="23" t="inlineStr">
        <is>
          <t>den</t>
        </is>
      </c>
      <c r="L24" s="23" t="inlineStr">
        <is>
          <t>yes</t>
        </is>
      </c>
      <c r="M24" s="23" t="n">
        <v>3</v>
      </c>
      <c r="N24" s="23" t="n">
        <v>0</v>
      </c>
      <c r="O24" s="23" t="n"/>
      <c r="P24" s="23" t="n"/>
      <c r="Q24" s="23" t="n">
        <v>8</v>
      </c>
      <c r="R24" s="23" t="inlineStr">
        <is>
          <t>the front line (foot)|the flank road (riding)</t>
        </is>
      </c>
    </row>
    <row r="25">
      <c r="A25" s="23" t="inlineStr">
        <is>
          <t>map_h34_war3</t>
        </is>
      </c>
      <c r="B25" s="23" t="inlineStr">
        <is>
          <t>The War: Reckoning</t>
        </is>
      </c>
      <c r="C25" s="23" t="n">
        <v>22</v>
      </c>
      <c r="D25" s="23" t="n">
        <v>16</v>
      </c>
      <c r="E25" s="23" t="inlineStr">
        <is>
          <t>seize</t>
        </is>
      </c>
      <c r="F25" s="23" t="n">
        <v>0</v>
      </c>
      <c r="G25" s="23" t="inlineStr">
        <is>
          <t>the war's last field -- where it finally stops</t>
        </is>
      </c>
      <c r="H25" s="23" t="inlineStr">
        <is>
          <t>ch_h34_war3</t>
        </is>
      </c>
      <c r="I25" s="23" t="inlineStr">
        <is>
          <t>Terrain/encounter_spawns/scene built (Act3 fleshing-out pass). Third and closing chapter of the invented War arc -- see map_h34_war1's note. Switched to 'seize' from 'survive' for the closing chapter -- a war ends by taking the field, not just outlasting it.</t>
        </is>
      </c>
      <c r="J25" s="23" t="inlineStr">
        <is>
          <t>no</t>
        </is>
      </c>
      <c r="K25" s="23" t="inlineStr">
        <is>
          <t>den</t>
        </is>
      </c>
      <c r="L25" s="23" t="inlineStr">
        <is>
          <t>yes</t>
        </is>
      </c>
      <c r="M25" s="23" t="n">
        <v>3</v>
      </c>
      <c r="N25" s="23" t="n">
        <v>0</v>
      </c>
      <c r="O25" s="23" t="n"/>
      <c r="P25" s="23" t="n"/>
      <c r="Q25" s="23" t="n">
        <v>9</v>
      </c>
      <c r="R25" s="23" t="inlineStr">
        <is>
          <t>the last field (foot)|the high ground (riding)</t>
        </is>
      </c>
    </row>
    <row r="26">
      <c r="A26" s="23" t="inlineStr">
        <is>
          <t>map_p_macuil</t>
        </is>
      </c>
      <c r="B26" s="23" t="inlineStr">
        <is>
          <t>The North Wind Winds</t>
        </is>
      </c>
      <c r="C26" s="23" t="n">
        <v>16</v>
      </c>
      <c r="D26" s="23" t="n">
        <v>12</v>
      </c>
      <c r="E26" s="23" t="inlineStr">
        <is>
          <t>seize</t>
        </is>
      </c>
      <c r="F26" s="23" t="n">
        <v>0</v>
      </c>
      <c r="G26" s="23" t="inlineStr">
        <is>
          <t>a drowned valley: farmland on the exposed old shoreline, a residual lake at the rift's low point with a bell tower's submerged tip still visible, villages worked the dry ground seasonally</t>
        </is>
      </c>
      <c r="H26" s="23" t="inlineStr">
        <is>
          <t>ch_p_macuil</t>
        </is>
      </c>
      <c r="I26" s="23" t="inlineStr">
        <is>
          <t>REGROUNDED AGAIN (2026-09-24): the 2026-09-23 pass rebuilt this terrain from rgn_stepped_coast's terrace scar text, which turned out to be the wrong region -- see chapters.ch_p_macuil's own corrected note. Terrain rebuilt a second time from rgn_drowned_march's actual scar ('a rift valley that filled; a lake with a visible former shoreline') and texture ('in dry years the top of a bell tower breaks the surface; villages sit on the new shoreline and farm the old one'): mostly open farmland (the exposed old shoreline, dry-year conditions) around a residual lake patch with the bell tower's tip as a landmark -- reusing ter_wall_face ('x') for the tip purely for its existing cost profile (impassable to ground, flying passes over), not for its 'wall/temple' name. objective_verb stays a placeholder default (seize) -- nothing in npcs.npc_macuil or the region's own row states an objective, only atmosphere and a doctrine match -- but this pass actually places a '*' seize tile in the grid, which the prior version never did (seize_pos would have resolved to map_grid.gd's not-found sentinel, making the old map's stated objective unreachable regardless of play). Seize tile sits on dry ground at the hermit's spot on the new shoreline, not in the water, so it's reachable on foot.</t>
        </is>
      </c>
      <c r="J26" s="23" t="inlineStr">
        <is>
          <t>no</t>
        </is>
      </c>
      <c r="K26" s="23" t="inlineStr">
        <is>
          <t>none</t>
        </is>
      </c>
      <c r="L26" s="23" t="inlineStr">
        <is>
          <t>no</t>
        </is>
      </c>
      <c r="M26" s="23" t="n">
        <v>2</v>
      </c>
      <c r="N26" s="23" t="n">
        <v>0</v>
      </c>
      <c r="O26" s="23" t="n"/>
      <c r="P26" s="23" t="n"/>
      <c r="Q26" s="23" t="n">
        <v>6</v>
      </c>
      <c r="R26" s="23" t="inlineStr">
        <is>
          <t>the shoreline farmland (foot)|the lake (flying only, ground blocked around the tower)</t>
        </is>
      </c>
    </row>
    <row r="27">
      <c r="A27" s="23" t="inlineStr">
        <is>
          <t>map_p_indech</t>
        </is>
      </c>
      <c r="B27" s="23" t="inlineStr">
        <is>
          <t>His Lake</t>
        </is>
      </c>
      <c r="C27" s="23" t="n">
        <v>18</v>
      </c>
      <c r="D27" s="23" t="n">
        <v>14</v>
      </c>
      <c r="E27" s="23" t="inlineStr">
        <is>
          <t>defend</t>
        </is>
      </c>
      <c r="F27" s="23" t="n">
        <v>8</v>
      </c>
      <c r="G27" s="23" t="inlineStr">
        <is>
          <t>the hermit's lake: his island on the north shore, Pelagos (the fisher commune) on the south, open water between that only the Isles' own pilots cross safely -- except one known shallow ford</t>
        </is>
      </c>
      <c r="H27" s="23" t="inlineStr">
        <is>
          <t>ch_p_indech</t>
        </is>
      </c>
      <c r="I27" s="23" t="inlineStr">
        <is>
          <t>Regrounded (2026-09-23) once locations.loc_hermit_lake/polities.pol_isles/settlements.set_pelagos were found (see ch_p_indech's own note for the correction and full connection). objective_verb='defend' was already set but turn_limit was 0, which silently made the defend-win condition (map_grid.gd's _check_defend_win, limit&gt;0 required) unreachable -- set to 8, matching map_a02/map_v22/map_m22's precedent for the same objective_verb. Terrain rebuilt around a real chokepoint: pol_isles.comparative_advantage ('pilotage -- the Isles' crews are why anyone crosses safely') implies the open water isn't safely crossable without a local pilot, so a raiding ea_warlord reaching Pelagos needs a ford -- that ford, not the lake itself, is what's actually being defended. ea_warlord's movement_type is infantry (enemy_archetypes), so it can use the foot-only ford exactly like the player's own ground units; the old placeholder terrain had no ford at all, which would have made either side unable to reach the other.</t>
        </is>
      </c>
      <c r="J27" s="23" t="inlineStr">
        <is>
          <t>no</t>
        </is>
      </c>
      <c r="K27" s="23" t="inlineStr">
        <is>
          <t>none</t>
        </is>
      </c>
      <c r="L27" s="23" t="inlineStr">
        <is>
          <t>no</t>
        </is>
      </c>
      <c r="M27" s="23" t="n">
        <v>2</v>
      </c>
      <c r="N27" s="23" t="n">
        <v>0</v>
      </c>
      <c r="O27" s="23" t="n"/>
      <c r="P27" s="23" t="n"/>
      <c r="Q27" s="23" t="n">
        <v>6</v>
      </c>
      <c r="R27" s="23" t="inlineStr">
        <is>
          <t>the shores (foot)|the ford, 3 tiles wide (foot only)|open water (flying only)</t>
        </is>
      </c>
    </row>
    <row r="28">
      <c r="A28" s="17" t="inlineStr">
        <is>
          <t>map_p_shadhavar</t>
        </is>
      </c>
      <c r="B28" s="17" t="inlineStr">
        <is>
          <t>The Lowest Terrace</t>
        </is>
      </c>
      <c r="C28" s="17" t="n">
        <v>16</v>
      </c>
      <c r="D28" s="17" t="n">
        <v>12</v>
      </c>
      <c r="E28" s="17" t="inlineStr">
        <is>
          <t>seize</t>
        </is>
      </c>
      <c r="F28" s="17" t="n">
        <v>0</v>
      </c>
      <c r="G28" s="17" t="inlineStr">
        <is>
          <t>the lowest of the Stepped Coast's three raised marine terraces, at the waterline, with the higher terraces rising behind it and the open sea beyond</t>
        </is>
      </c>
      <c r="H28" s="17" t="inlineStr">
        <is>
          <t>ch_p_shadhavar</t>
        </is>
      </c>
      <c r="I28" s="17" t="inlineStr">
        <is>
          <t>New (2026-09-24). Grounded in locations.loc_lowest_terrace ('the Shadhavar; the song pulls the nearest enemy one tile a turn') and regions.rgn_stepped_coast's own scar ('three raised marine terraces, each a former shoreline, each with a ruined harbor at the wrong altitude') -- this is specifically the LOWEST of those three terraces, the one nearest the water, distinct from ch_p_indech's own site in the same region (a lake further out among the isles). Terrain: the upper terraces sit as a riding-blocked backdrop band, the lowest terrace itself is the open battlefield, the sea is the boundary beyond it. objective_verb='seize' is a placeholder default, same as every other paralogue map -- nothing in named.nmd_shadhavar or locations.loc_lowest_terrace states a win condition, only atmosphere. ea_shadhavar (enemy_archetypes) stands in for the creature itself, same pattern as ea_warlord standing in for Macuil and Indech's own capstone encounters -- the real pact/three-way-capture system and the song's always-on pull effect are NOT modeled in map_grid.gd, see this chapter's own note for the full scope flag.</t>
        </is>
      </c>
      <c r="J28" s="17" t="inlineStr">
        <is>
          <t>no</t>
        </is>
      </c>
      <c r="K28" s="17" t="inlineStr">
        <is>
          <t>none</t>
        </is>
      </c>
      <c r="L28" s="17" t="inlineStr">
        <is>
          <t>no</t>
        </is>
      </c>
      <c r="M28" s="17" t="n">
        <v>2</v>
      </c>
      <c r="N28" s="17" t="n">
        <v>0</v>
      </c>
      <c r="Q28" s="17" t="n">
        <v>6</v>
      </c>
      <c r="R28" s="17" t="inlineStr">
        <is>
          <t>the lowest terrace (foot, riding)|the upper terraces (riding blocked)|the sea (flying only)</t>
        </is>
      </c>
    </row>
    <row r="29">
      <c r="A29" s="17" t="inlineStr">
        <is>
          <t>map_p_simurgh</t>
        </is>
      </c>
      <c r="B29" s="17" t="inlineStr">
        <is>
          <t>The Mountain Above the Lake</t>
        </is>
      </c>
      <c r="C29" s="17" t="n">
        <v>16</v>
      </c>
      <c r="D29" s="17" t="n">
        <v>14</v>
      </c>
      <c r="E29" s="17" t="inlineStr">
        <is>
          <t>seize</t>
        </is>
      </c>
      <c r="F29" s="17" t="n">
        <v>0</v>
      </c>
      <c r="G29" s="17" t="inlineStr">
        <is>
          <t>a mountain rising above rgn_drowned_march's drowned lake, slopes ringing a nest plateau, the lake visible far below</t>
        </is>
      </c>
      <c r="H29" s="17" t="inlineStr">
        <is>
          <t>ch_p_simurgh</t>
        </is>
      </c>
      <c r="I29" s="17" t="inlineStr">
        <is>
          <t>New (2026-09-24). Grounded in locations.loc_simurgh_nest ('The mountain above the lake') and regions.rgn_drowned_march's own scar/texture -- the same lake ch_p_macuil's regrounded terrain sits beside, seen this time from the mountain above it rather than the drowned shoreline itself. Terrain: mountain slopes (riding blocked) ringing an open plateau where the nest sits, with the lake visible far below as a flying-only boundary. objective_verb='seize' is a placeholder default, same as every other paralogue map -- nothing in named.nmd_simurgh or locations.loc_simurgh_nest states a win condition. ea_simurgh (enemy_archetypes) stands in for the creature as a fightable capstone, same pattern as ea_warlord/ea_shadhavar -- but flagged more strongly here than elsewhere: named.nmd_simurgh reads as protective and benevolent ('foster-mother', 'cleanses corruption'), not adversarial, so treating her as a hostile boss spawn is a bigger simplification than for the Shadhavar or Macuil's own capstone fight. The real pact/feather system and her 5 HP/turn aura are NOT modeled in map_grid.gd.</t>
        </is>
      </c>
      <c r="J29" s="17" t="inlineStr">
        <is>
          <t>no</t>
        </is>
      </c>
      <c r="K29" s="17" t="inlineStr">
        <is>
          <t>none</t>
        </is>
      </c>
      <c r="L29" s="17" t="inlineStr">
        <is>
          <t>no</t>
        </is>
      </c>
      <c r="M29" s="17" t="n">
        <v>2</v>
      </c>
      <c r="N29" s="17" t="n">
        <v>0</v>
      </c>
      <c r="Q29" s="17" t="n">
        <v>6</v>
      </c>
      <c r="R29" s="17" t="inlineStr">
        <is>
          <t>the nest plateau (foot, riding)|the slopes (riding blocked)|the lake far below (flying only)</t>
        </is>
      </c>
    </row>
    <row r="30">
      <c r="A30" s="17" t="inlineStr">
        <is>
          <t>map_p_karkadann</t>
        </is>
      </c>
      <c r="B30" s="17" t="inlineStr">
        <is>
          <t>The Dove Colony</t>
        </is>
      </c>
      <c r="C30" s="17" t="n">
        <v>16</v>
      </c>
      <c r="D30" s="17" t="n">
        <v>12</v>
      </c>
      <c r="E30" s="17" t="inlineStr">
        <is>
          <t>seize</t>
        </is>
      </c>
      <c r="F30" s="17" t="n">
        <v>0</v>
      </c>
      <c r="G30" s="17" t="inlineStr">
        <is>
          <t>the Ashland's volcanic ash field, miasma throughout, ringing a clear central clearing -- the dove colony the Karkadann guards</t>
        </is>
      </c>
      <c r="H30" s="17" t="inlineStr">
        <is>
          <t>ch_p_karkadann</t>
        </is>
      </c>
      <c r="I30" s="17" t="inlineStr">
        <is>
          <t>New (2026-09-24). Grounded in locations.loc_dove_colony and regions.rgn_ashland's own scar/texture ('a volcanic field; spectacular soil, bad air' / 'miasma tiles live here and stop being generic fog'). Terrain reuses ter_miasma ('m', hazard_dmg=2, all movement types affected including flying, per its own existing cost row) for the ash field blanketing the region, with a clear central clearing (the dove colony itself, safe ground) players must cross the hazard to reach, and a clean foothold at the deploy edge so the encounter doesn't start with damage already ticking. objective_verb='seize' is a placeholder default, same as every other paralogue map. ea_karkadann (enemy_archetypes) stands in for the creature as a fightable capstone, same pattern as the other three Named stand-ins this session -- its real charge mechanic (bonus vs mounted units, stuck one turn after) is NOT modeled in map_grid.gd, which has no type-effectiveness or stun-after-attack system.</t>
        </is>
      </c>
      <c r="J30" s="17" t="inlineStr">
        <is>
          <t>no</t>
        </is>
      </c>
      <c r="K30" s="17" t="inlineStr">
        <is>
          <t>none</t>
        </is>
      </c>
      <c r="L30" s="17" t="inlineStr">
        <is>
          <t>no</t>
        </is>
      </c>
      <c r="M30" s="17" t="n">
        <v>2</v>
      </c>
      <c r="N30" s="17" t="n">
        <v>0</v>
      </c>
      <c r="Q30" s="17" t="n">
        <v>6</v>
      </c>
      <c r="R30" s="17" t="inlineStr">
        <is>
          <t>the clearing (foot, riding, safe)|the ash field (all movement, 2 HP/turn hazard)</t>
        </is>
      </c>
    </row>
    <row r="31">
      <c r="A31" s="17" t="inlineStr">
        <is>
          <t>map_p_anzu</t>
        </is>
      </c>
      <c r="B31" s="17" t="inlineStr">
        <is>
          <t>The Interior of the Flats</t>
        </is>
      </c>
      <c r="C31" s="17" t="n">
        <v>18</v>
      </c>
      <c r="D31" s="17" t="n">
        <v>12</v>
      </c>
      <c r="E31" s="17" t="inlineStr">
        <is>
          <t>seize</t>
        </is>
      </c>
      <c r="F31" s="17" t="n">
        <v>0</v>
      </c>
      <c r="G31" s="17" t="inlineStr">
        <is>
          <t>the Glass Flats' interior: fused, straight-edged, featureless ground under a white sky -- open sightlines in every direction, nothing to break them</t>
        </is>
      </c>
      <c r="H31" s="17" t="inlineStr">
        <is>
          <t>ch_p_anzu</t>
        </is>
      </c>
      <c r="I31" s="17" t="inlineStr">
        <is>
          <t>New (2026-09-24). Grounded in locations.loc_flats_interior and regions.rgn_glass_flats's own scar/texture ('fused ground, straight-edged, unmistakably made; nothing grows' / 'white sky, hard noon light, mineral color, a single figure legible at distance. Beautiful, not gothic'). Terrain deliberately reuses only ter_court ('.', plain cost-1 ground) throughout -- no new symbol, no hazard, on purpose: 'nothing grows' and 'a single figure legible at distance' both describe a stark, empty, sightline-open flat, the first paralogue map this session without any terrain variation at all. That emptiness is the grounded choice, not a placeholder shortcut. objective_verb='seize' stays the same reviewed placeholder as every paralogue map (see chapters.ch_p_anzu's own note for why sect_road's real 'purchase' precedent was considered and rejected here). ea_anzu (enemy_archetypes) stands in for the creature as a fightable capstone -- its real weapon-degrading touch and the literacy-contract system are NOT modeled in map_grid.gd. VALIDATION-TAB NOTE (2026-09-25): v23 flags this map for fewer than 2 stated approaches (only one pipe-free entry). Reviewed, not fixed: the single uniform approach is the grounded choice, not a gap -- see this map's own note on why the terrain is deliberately featureless. Inventing a second, different approach type would mean adding terrain variation the location's own text doesn't support, the same call already made for every other validator tension this session (c09/c15).</t>
        </is>
      </c>
      <c r="J31" s="17" t="inlineStr">
        <is>
          <t>no</t>
        </is>
      </c>
      <c r="K31" s="17" t="inlineStr">
        <is>
          <t>none</t>
        </is>
      </c>
      <c r="L31" s="17" t="inlineStr">
        <is>
          <t>no</t>
        </is>
      </c>
      <c r="M31" s="17" t="n">
        <v>2</v>
      </c>
      <c r="N31" s="17" t="n">
        <v>0</v>
      </c>
      <c r="Q31" s="17" t="n">
        <v>6</v>
      </c>
      <c r="R31" s="17" t="inlineStr">
        <is>
          <t>the open flat (all movement, no cover, no chokepoints)</t>
        </is>
      </c>
    </row>
    <row r="32">
      <c r="A32" s="17" t="inlineStr">
        <is>
          <t>map_p_huma</t>
        </is>
      </c>
      <c r="B32" s="17" t="inlineStr">
        <is>
          <t>The Open Road</t>
        </is>
      </c>
      <c r="C32" s="17" t="n">
        <v>20</v>
      </c>
      <c r="D32" s="17" t="n">
        <v>8</v>
      </c>
      <c r="E32" s="17" t="inlineStr">
        <is>
          <t>escape</t>
        </is>
      </c>
      <c r="F32" s="17" t="n">
        <v>0</v>
      </c>
      <c r="G32" s="17" t="inlineStr">
        <is>
          <t>an open stretch of the Throat road, no landmark, no scar -- the road itself is the only feature, the Huma drifting somewhere overhead</t>
        </is>
      </c>
      <c r="H32" s="17" t="inlineStr">
        <is>
          <t>ch_p_huma</t>
        </is>
      </c>
      <c r="I32" s="17" t="inlineStr">
        <is>
          <t>New (2026-09-24). Grounded in locations.loc_open_road ('no fixed site') and regions.rgn_the_throat's own scar ('none; the road itself is the feature'). Terrain is a plain east-west road corridor, no hazard, no landmark -- deliberately featureless like ch_p_anzu's Flats, but shaped as a strip to cross rather than an open field, since 'the road itself is the feature'. objective_verb='escape' (not the usual paralogue placeholder 'seize') is the one real objective departure this session: nothing here is a fixed point to seize, and named.nmd_huma's own region row is explicit there is no site. Reuses map_grid.gd's existing escape/escort logic (min_solution_units units must reach the 'E' tile at the road's far end) -- same mechanism as map_a03, no new engine work. No boss spawn: named.nmd_huma is explicitly 'MAP HAZARD, NOT A MOUNT' with a stated kill-taboo, so unlike every other Named paralogue this session it is NOT represented as a fightable enemy -- see chapters.ch_p_huma's own note for the full reasoning. The two mook spawns (ea_looter, already grounded for 'opportunists working the toll road' on map_r16) are the actual combat; the Huma itself only appears in this text and the scene, drifting overhead, never targetable. VALIDATION-TAB NOTE (2026-09-25): v23 flags this map for fewer than 2 stated approaches (only one pipe-free entry). Reviewed, not fixed: the single uniform approach is the grounded choice, not a gap -- see this map's own note on why the terrain is deliberately featureless. Inventing a second, different approach type would mean adding terrain variation the location's own text doesn't support, the same call already made for every other validator tension this session (c09/c15).</t>
        </is>
      </c>
      <c r="J32" s="17" t="inlineStr">
        <is>
          <t>no</t>
        </is>
      </c>
      <c r="K32" s="17" t="inlineStr">
        <is>
          <t>none</t>
        </is>
      </c>
      <c r="L32" s="17" t="inlineStr">
        <is>
          <t>no</t>
        </is>
      </c>
      <c r="M32" s="17" t="n">
        <v>2</v>
      </c>
      <c r="N32" s="17" t="n">
        <v>0</v>
      </c>
      <c r="Q32" s="17" t="n">
        <v>6</v>
      </c>
      <c r="R32" s="17" t="inlineStr">
        <is>
          <t>the road (all movement, open, no cover)</t>
        </is>
      </c>
    </row>
    <row r="33">
      <c r="A33" s="17" t="inlineStr">
        <is>
          <t>map_p_buried_works</t>
        </is>
      </c>
      <c r="B33" s="17" t="inlineStr">
        <is>
          <t>The Buried Works</t>
        </is>
      </c>
      <c r="C33" s="17" t="n">
        <v>16</v>
      </c>
      <c r="D33" s="17" t="n">
        <v>12</v>
      </c>
      <c r="E33" s="17" t="inlineStr">
        <is>
          <t>seize</t>
        </is>
      </c>
      <c r="F33" s="17" t="n">
        <v>0</v>
      </c>
      <c r="G33" s="17" t="inlineStr">
        <is>
          <t>a facility buried under Vashti, sealed off and half-collapsed, the shrine's reconsecration built directly over it -- corridors, rubble, and a small archive chamber holding what the shrine above was built to bury</t>
        </is>
      </c>
      <c r="H33" s="17" t="inlineStr">
        <is>
          <t>ch_p_buried_works</t>
        </is>
      </c>
      <c r="I33" s="17" t="inlineStr">
        <is>
          <t>New (2026-09-24). Grounded in locations.loc_buried_works ('records, complicit clerks, a shrine built over a facility') and sects.sect_vashti's own wound/doctrine. Terrain reuses ter_wall_face ('x') for the buried structure's walls and ter_rubble ('u', from map_a03 -- 'ruined-priory debris') for a collapsed section blocking the direct route to the archive, forcing a detour through the south corridor -- or a costlier, hazardous cut straight through the rubble, giving foot units (move_infantry=2) an edge over armor/riding (move_armor/riding=3) the same way ter_rubble already does on map_a03. The archive chamber (the seize tile) sits in a small walled room reached only through one doorway, on the far side of the rubble from the deploy zone. No Named creature -- ea_hardened_veteran reused for both the boss and mook spawn, same archetype and justification as ch_v21's own 'complicit hands' guard. objective_verb='seize' is directly grounded here, not the usual paralogue placeholder -- the records are explicitly the thing to reach, see chapters.ch_p_buried_works' own note.</t>
        </is>
      </c>
      <c r="J33" s="17" t="inlineStr">
        <is>
          <t>no</t>
        </is>
      </c>
      <c r="K33" s="17" t="inlineStr">
        <is>
          <t>none</t>
        </is>
      </c>
      <c r="L33" s="17" t="inlineStr">
        <is>
          <t>no</t>
        </is>
      </c>
      <c r="M33" s="17" t="n">
        <v>2</v>
      </c>
      <c r="N33" s="17" t="n">
        <v>0</v>
      </c>
      <c r="Q33" s="17" t="n">
        <v>6</v>
      </c>
      <c r="R33" s="17" t="inlineStr">
        <is>
          <t>the south corridor (all movement, clear)|straight through the rubble (foot favored, hazardous)</t>
        </is>
      </c>
      <c r="U33" t="inlineStr">
        <is>
          <t>x</t>
        </is>
      </c>
    </row>
    <row r="34">
      <c r="A34" s="17" t="inlineStr">
        <is>
          <t>map_d04</t>
        </is>
      </c>
      <c r="B34" s="17" t="inlineStr">
        <is>
          <t>Thessala Harbour</t>
        </is>
      </c>
      <c r="C34" s="17" t="n">
        <v>16</v>
      </c>
      <c r="D34" s="17" t="n">
        <v>10</v>
      </c>
      <c r="E34" s="17" t="inlineStr">
        <is>
          <t>defend</t>
        </is>
      </c>
      <c r="F34" s="17" t="n">
        <v>8</v>
      </c>
      <c r="G34" s="17" t="inlineStr">
        <is>
          <t>Thessala's south-coast harbour, grain unloaded under protest</t>
        </is>
      </c>
      <c r="H34" s="17" t="inlineStr">
        <is>
          <t>ch_d04</t>
        </is>
      </c>
      <c r="I34" s="17" t="inlineStr">
        <is>
          <t>Grounded in locations.loc_thessala. Defend shape: protect the unloading operation for 8 turns (matching map_a02/v22/m22's own defend turn_limit precedent) or defeat the looter boss early. Terrain: dock quay (open ground), warehouse sheds reusing ter_covered_market ('k', blocks flying, from map_b15 -- an awninged dockside market fits as well as an arcade did), open water at the map edge (ter_channel, flying only).</t>
        </is>
      </c>
      <c r="J34" s="17" t="inlineStr">
        <is>
          <t>no</t>
        </is>
      </c>
      <c r="K34" s="17" t="inlineStr">
        <is>
          <t>none</t>
        </is>
      </c>
      <c r="L34" s="17" t="inlineStr">
        <is>
          <t>no</t>
        </is>
      </c>
      <c r="M34" s="17" t="n">
        <v>2</v>
      </c>
      <c r="N34" s="17" t="n">
        <v>0</v>
      </c>
      <c r="Q34" s="17" t="n">
        <v>6</v>
      </c>
      <c r="R34" s="17" t="inlineStr">
        <is>
          <t>the quay (foot, riding)|the warehouse sheds (blocks flying)|open water (flying only)</t>
        </is>
      </c>
      <c r="T34" s="17" t="inlineStr">
        <is>
          <t>pol_assembly</t>
        </is>
      </c>
    </row>
    <row r="35">
      <c r="A35" s="17" t="inlineStr">
        <is>
          <t>map_d06</t>
        </is>
      </c>
      <c r="B35" s="17" t="inlineStr">
        <is>
          <t>Anthe, on the Terraces</t>
        </is>
      </c>
      <c r="C35" s="17" t="n">
        <v>16</v>
      </c>
      <c r="D35" s="17" t="n">
        <v>12</v>
      </c>
      <c r="E35" s="17" t="inlineStr">
        <is>
          <t>seize</t>
        </is>
      </c>
      <c r="F35" s="17" t="n">
        <v>0</v>
      </c>
      <c r="G35" s="17" t="inlineStr">
        <is>
          <t>the Stepped Coast's three raised marine terraces, a stranded harbour at the wrong altitude</t>
        </is>
      </c>
      <c r="H35" s="17" t="inlineStr">
        <is>
          <t>ch_d06</t>
        </is>
      </c>
      <c r="I35" s="17" t="inlineStr">
        <is>
          <t>Grounded directly in regions.rgn_stepped_coast's own scar text -- see chapters.ch_d06's own note on why this, not ch_p_macuil, is that text's rightful home. Terrain reuses ter_terrace_high ('T', riding blocked) for the three levels and ter_building ('b', fully impassable including flying, from map_a02) for the stranded harbour ruin. objective_verb='seize' is an honest default -- nothing in loc_anthe's own text states an objective beyond the setting.</t>
        </is>
      </c>
      <c r="J35" s="17" t="inlineStr">
        <is>
          <t>no</t>
        </is>
      </c>
      <c r="K35" s="17" t="inlineStr">
        <is>
          <t>none</t>
        </is>
      </c>
      <c r="L35" s="17" t="inlineStr">
        <is>
          <t>no</t>
        </is>
      </c>
      <c r="M35" s="17" t="n">
        <v>2</v>
      </c>
      <c r="N35" s="17" t="n">
        <v>0</v>
      </c>
      <c r="Q35" s="17" t="n">
        <v>6</v>
      </c>
      <c r="R35" s="17" t="inlineStr">
        <is>
          <t>the lower terrace (foot, riding)|the upper terraces (riding blocked)</t>
        </is>
      </c>
      <c r="T35" s="17" t="inlineStr">
        <is>
          <t>pol_assembly</t>
        </is>
      </c>
      <c r="U35" t="inlineStr">
        <is>
          <t>b</t>
        </is>
      </c>
    </row>
    <row r="36">
      <c r="A36" s="17" t="inlineStr">
        <is>
          <t>map_d07</t>
        </is>
      </c>
      <c r="B36" s="17" t="inlineStr">
        <is>
          <t>The Stranded Harbour</t>
        </is>
      </c>
      <c r="C36" s="17" t="n">
        <v>14</v>
      </c>
      <c r="D36" s="17" t="n">
        <v>10</v>
      </c>
      <c r="E36" s="17" t="inlineStr">
        <is>
          <t>seize</t>
        </is>
      </c>
      <c r="F36" s="17" t="n">
        <v>0</v>
      </c>
      <c r="G36" s="17" t="inlineStr">
        <is>
          <t>a ruin on the middle terrace where sect_coast's renunciants live</t>
        </is>
      </c>
      <c r="H36" s="17" t="inlineStr">
        <is>
          <t>ch_d07</t>
        </is>
      </c>
      <c r="I36" s="17" t="inlineStr">
        <is>
          <t>Grounded in locations.loc_stranded_harbour, same region as map_d06 -- reuses the same terrace/ruin vocabulary (ter_terrace_high, ter_building) since it's the same coast, not copy-pasted from map_d06's own layout. The renunciants are named flavor, not enemies -- combat is scavengers/looters (ea_looter) picking through the ruin. objective_verb='seize' is an honest default.</t>
        </is>
      </c>
      <c r="J36" s="17" t="inlineStr">
        <is>
          <t>no</t>
        </is>
      </c>
      <c r="K36" s="17" t="inlineStr">
        <is>
          <t>none</t>
        </is>
      </c>
      <c r="L36" s="17" t="inlineStr">
        <is>
          <t>no</t>
        </is>
      </c>
      <c r="M36" s="17" t="n">
        <v>2</v>
      </c>
      <c r="N36" s="17" t="n">
        <v>0</v>
      </c>
      <c r="Q36" s="17" t="n">
        <v>6</v>
      </c>
      <c r="R36" s="17" t="inlineStr">
        <is>
          <t>the ruin floor (foot, riding)|the terrace above (riding blocked)</t>
        </is>
      </c>
      <c r="T36" s="17" t="inlineStr">
        <is>
          <t>pol_assembly</t>
        </is>
      </c>
      <c r="U36" t="inlineStr">
        <is>
          <t>b</t>
        </is>
      </c>
    </row>
    <row r="37">
      <c r="A37" s="17" t="inlineStr">
        <is>
          <t>map_d08</t>
        </is>
      </c>
      <c r="B37" s="17" t="inlineStr">
        <is>
          <t>The Dry Country</t>
        </is>
      </c>
      <c r="C37" s="17" t="n">
        <v>20</v>
      </c>
      <c r="D37" s="17" t="n">
        <v>10</v>
      </c>
      <c r="E37" s="17" t="inlineStr">
        <is>
          <t>survive</t>
        </is>
      </c>
      <c r="F37" s="17" t="n">
        <v>8</v>
      </c>
      <c r="G37" s="17" t="inlineStr">
        <is>
          <t>open ground, no cover, unscarred rgn_center hinterland</t>
        </is>
      </c>
      <c r="H37" s="17" t="inlineStr">
        <is>
          <t>ch_d08</t>
        </is>
      </c>
      <c r="I37" s="17" t="inlineStr">
        <is>
          <t>Grounded in locations.loc_dry_country ('open ground, no cover, the map that punishes slow armies') and regions.rgn_center's own scar ('none -- the center is unscarred'). Deliberately featureless, like ch_p_anzu's Flats -- the emptiness itself is the grounded choice. objective_verb='survive' (turn_limit=8, matching precedent) instead of 'rout', which map_grid.gd does not implement -- checked before choosing. A fast raiding party (ea_war_captain) harasses across open ground with nothing to hide behind, mechanizing 'punishes slow armies' as exposure over time rather than a fixed objective. VALIDATION-TAB NOTE (2026-09-25): v23 flags this map for fewer than 2 stated approaches (only one pipe-free entry). Reviewed, not fixed: the single uniform approach is the grounded choice, not a gap -- see this map's own note on why the terrain is deliberately featureless. Inventing a second, different approach type would mean adding terrain variation the location's own text doesn't support, the same call already made for every other validator tension this session (c09/c15).</t>
        </is>
      </c>
      <c r="J37" s="17" t="inlineStr">
        <is>
          <t>no</t>
        </is>
      </c>
      <c r="K37" s="17" t="inlineStr">
        <is>
          <t>none</t>
        </is>
      </c>
      <c r="L37" s="17" t="inlineStr">
        <is>
          <t>no</t>
        </is>
      </c>
      <c r="M37" s="17" t="n">
        <v>2</v>
      </c>
      <c r="N37" s="17" t="n">
        <v>0</v>
      </c>
      <c r="Q37" s="17" t="n">
        <v>6</v>
      </c>
      <c r="R37" s="17" t="inlineStr">
        <is>
          <t>the open ground (all movement, no cover, no chokepoints)</t>
        </is>
      </c>
      <c r="T37" s="17" t="inlineStr">
        <is>
          <t>pol_assembly</t>
        </is>
      </c>
    </row>
    <row r="38">
      <c r="A38" s="17" t="inlineStr">
        <is>
          <t>map_d09</t>
        </is>
      </c>
      <c r="B38" s="17" t="inlineStr">
        <is>
          <t>The Vashti Road</t>
        </is>
      </c>
      <c r="C38" s="17" t="n">
        <v>20</v>
      </c>
      <c r="D38" s="17" t="n">
        <v>8</v>
      </c>
      <c r="E38" s="17" t="inlineStr">
        <is>
          <t>escape</t>
        </is>
      </c>
      <c r="F38" s="17" t="n">
        <v>0</v>
      </c>
      <c r="G38" s="17" t="inlineStr">
        <is>
          <t>the single road east into the Ashland, lava fans narrowing it to one lane in places</t>
        </is>
      </c>
      <c r="H38" s="17" t="inlineStr">
        <is>
          <t>ch_d09</t>
        </is>
      </c>
      <c r="I38" s="17" t="inlineStr">
        <is>
          <t>Grounded in locations.loc_vashti_road. Terrain reuses ter_miasma ('m', already grounded for rgn_ashland's own volcanic ash on ch_p_karkadann) for the lava-fan hazard patches and ter_span ('a', width-1 chokepoint, from map_f00) for the single-lane narrows the location's own text names directly. objective_verb='escape' -- min_solution_units units must reach the 'E' tile, same mechanism as ch_p_huma's road, no cargo/escort stated anywhere in this location's text.</t>
        </is>
      </c>
      <c r="J38" s="17" t="inlineStr">
        <is>
          <t>no</t>
        </is>
      </c>
      <c r="K38" s="17" t="inlineStr">
        <is>
          <t>none</t>
        </is>
      </c>
      <c r="L38" s="17" t="inlineStr">
        <is>
          <t>no</t>
        </is>
      </c>
      <c r="M38" s="17" t="n">
        <v>2</v>
      </c>
      <c r="N38" s="17" t="n">
        <v>0</v>
      </c>
      <c r="Q38" s="17" t="n">
        <v>6</v>
      </c>
      <c r="R38" s="17" t="inlineStr">
        <is>
          <t>the road (foot, riding)|the lava-fan narrows (all movement, hazard)</t>
        </is>
      </c>
      <c r="T38" s="17" t="inlineStr">
        <is>
          <t>pol_assembly</t>
        </is>
      </c>
    </row>
    <row r="39">
      <c r="A39" s="17" t="inlineStr">
        <is>
          <t>map_d10</t>
        </is>
      </c>
      <c r="B39" s="17" t="inlineStr">
        <is>
          <t>Vashti Gate</t>
        </is>
      </c>
      <c r="C39" s="17" t="n">
        <v>16</v>
      </c>
      <c r="D39" s="17" t="n">
        <v>10</v>
      </c>
      <c r="E39" s="17" t="inlineStr">
        <is>
          <t>seize</t>
        </is>
      </c>
      <c r="F39" s="17" t="n">
        <v>0</v>
      </c>
      <c r="G39" s="17" t="inlineStr">
        <is>
          <t>the Ashland volcanic approach to Vashti's occupied seat, walled and shut</t>
        </is>
      </c>
      <c r="H39" s="17" t="inlineStr">
        <is>
          <t>ch_d10</t>
        </is>
      </c>
      <c r="I39" s="17" t="inlineStr">
        <is>
          <t>Grounded in locations.loc_vashti_gate's Act1 occurrence -- see chapters.ch_d10's own note on how this relates to ch_v21, the same location's Act2 return. Terrain reuses ter_wall_face ('x') for the gate and walls and ter_miasma ('m') for the ash-field approach, consistent with rgn_ashland's established vocabulary. objective_verb='seize' -- the diadem route's Act1 finale is a decisive push to breach the gate, not a negotiation (the location's own text: 'will not talk to you').</t>
        </is>
      </c>
      <c r="J39" s="17" t="inlineStr">
        <is>
          <t>no</t>
        </is>
      </c>
      <c r="K39" s="17" t="inlineStr">
        <is>
          <t>none</t>
        </is>
      </c>
      <c r="L39" s="17" t="inlineStr">
        <is>
          <t>no</t>
        </is>
      </c>
      <c r="M39" s="17" t="n">
        <v>2</v>
      </c>
      <c r="N39" s="17" t="n">
        <v>0</v>
      </c>
      <c r="Q39" s="17" t="n">
        <v>6</v>
      </c>
      <c r="R39" s="17" t="inlineStr">
        <is>
          <t>the ash-field approach (all movement, hazard)|the gate itself (foot, riding)</t>
        </is>
      </c>
      <c r="T39" s="17" t="inlineStr">
        <is>
          <t>pol_assembly</t>
        </is>
      </c>
      <c r="U39" t="inlineStr">
        <is>
          <t>x</t>
        </is>
      </c>
    </row>
    <row r="40">
      <c r="A40" s="17" t="inlineStr">
        <is>
          <t>map_a04</t>
        </is>
      </c>
      <c r="B40" s="17" t="inlineStr">
        <is>
          <t>Halder Harbour</t>
        </is>
      </c>
      <c r="C40" s="17" t="n">
        <v>16</v>
      </c>
      <c r="D40" s="17" t="n">
        <v>10</v>
      </c>
      <c r="E40" s="17" t="inlineStr">
        <is>
          <t>seize</t>
        </is>
      </c>
      <c r="F40" s="17" t="n">
        <v>0</v>
      </c>
      <c r="G40" s="17" t="inlineStr">
        <is>
          <t>Halder's north-coast docks, exotic medicine traded quietly</t>
        </is>
      </c>
      <c r="H40" s="17" t="inlineStr">
        <is>
          <t>ch_a04</t>
        </is>
      </c>
      <c r="I40" s="17" t="inlineStr">
        <is>
          <t>Grounded in locations.loc_halder. Terrain: dock quay (open ground), warehouse sheds reusing ter_covered_market ('k', blocks flying), open water at the map edge (ter_channel, flying only) -- same harbour vocabulary as map_d04, not copy-pasted from it (different layout/enemy count). objective_verb='seize' is an honest default -- no stated objective in the location's own text.</t>
        </is>
      </c>
      <c r="J40" s="17" t="inlineStr">
        <is>
          <t>no</t>
        </is>
      </c>
      <c r="K40" s="17" t="inlineStr">
        <is>
          <t>none</t>
        </is>
      </c>
      <c r="L40" s="17" t="inlineStr">
        <is>
          <t>no</t>
        </is>
      </c>
      <c r="M40" s="17" t="n">
        <v>2</v>
      </c>
      <c r="N40" s="17" t="n">
        <v>0</v>
      </c>
      <c r="Q40" s="17" t="n">
        <v>6</v>
      </c>
      <c r="R40" s="17" t="inlineStr">
        <is>
          <t>the quay (foot, riding)|the warehouse sheds (blocks flying)|open water (flying only)</t>
        </is>
      </c>
      <c r="T40" s="17" t="inlineStr">
        <is>
          <t>pol_diadem</t>
        </is>
      </c>
    </row>
    <row r="41">
      <c r="A41" s="17" t="inlineStr">
        <is>
          <t>map_a05</t>
        </is>
      </c>
      <c r="B41" s="17" t="inlineStr">
        <is>
          <t>The Lake Shore</t>
        </is>
      </c>
      <c r="C41" s="17" t="n">
        <v>16</v>
      </c>
      <c r="D41" s="17" t="n">
        <v>12</v>
      </c>
      <c r="E41" s="17" t="inlineStr">
        <is>
          <t>seize</t>
        </is>
      </c>
      <c r="F41" s="17" t="n">
        <v>0</v>
      </c>
      <c r="G41" s="17" t="inlineStr">
        <is>
          <t>the drowned town, a bell tower's tip breaking the surface, farmed old shoreline</t>
        </is>
      </c>
      <c r="H41" s="17" t="inlineStr">
        <is>
          <t>ch_a05</t>
        </is>
      </c>
      <c r="I41" s="17" t="inlineStr">
        <is>
          <t>Grounded directly in regions.rgn_drowned_march's own scar text -- see chapters.ch_a05's own note on this being that text's most direct Act1 expression. Terrain: open farmland (exposed old shoreline) around a residual lake patch, ter_wall_face ('x') reused again for the bell tower's tip (same reuse rationale as ch_p_macuil's own map), ter_channel ('c') for the water. objective_verb='seize' -- honest default, the tower itself as the reachable landmark.</t>
        </is>
      </c>
      <c r="J41" s="17" t="inlineStr">
        <is>
          <t>no</t>
        </is>
      </c>
      <c r="K41" s="17" t="inlineStr">
        <is>
          <t>none</t>
        </is>
      </c>
      <c r="L41" s="17" t="inlineStr">
        <is>
          <t>no</t>
        </is>
      </c>
      <c r="M41" s="17" t="n">
        <v>2</v>
      </c>
      <c r="N41" s="17" t="n">
        <v>0</v>
      </c>
      <c r="Q41" s="17" t="n">
        <v>6</v>
      </c>
      <c r="R41" s="17" t="inlineStr">
        <is>
          <t>the old shoreline (foot, riding)|the water (flying only)</t>
        </is>
      </c>
      <c r="T41" s="17" t="inlineStr">
        <is>
          <t>pol_diadem</t>
        </is>
      </c>
    </row>
    <row r="42">
      <c r="A42" s="17" t="inlineStr">
        <is>
          <t>map_a06</t>
        </is>
      </c>
      <c r="B42" s="17" t="inlineStr">
        <is>
          <t>Ostrova and the Marches</t>
        </is>
      </c>
      <c r="C42" s="17" t="n">
        <v>18</v>
      </c>
      <c r="D42" s="17" t="n">
        <v>10</v>
      </c>
      <c r="E42" s="17" t="inlineStr">
        <is>
          <t>seize</t>
        </is>
      </c>
      <c r="F42" s="17" t="n">
        <v>0</v>
      </c>
      <c r="G42" s="17" t="inlineStr">
        <is>
          <t>the steppe edge at Ostrova, the Assembly's eastern frontier city</t>
        </is>
      </c>
      <c r="H42" s="17" t="inlineStr">
        <is>
          <t>ch_a06</t>
        </is>
      </c>
      <c r="I42" s="17" t="inlineStr">
        <is>
          <t>Grounded in locations.loc_ostrova. Open steppe ground with a small settlement cluster (ter_building, 'b', impassable) at the city's edge -- mobile Plains raiders (ea_war_captain) threaten the frontier rather than a siege force. objective_verb='seize' is an honest default.</t>
        </is>
      </c>
      <c r="J42" s="17" t="inlineStr">
        <is>
          <t>no</t>
        </is>
      </c>
      <c r="K42" s="17" t="inlineStr">
        <is>
          <t>none</t>
        </is>
      </c>
      <c r="L42" s="17" t="inlineStr">
        <is>
          <t>no</t>
        </is>
      </c>
      <c r="M42" s="17" t="n">
        <v>2</v>
      </c>
      <c r="N42" s="17" t="n">
        <v>0</v>
      </c>
      <c r="Q42" s="17" t="n">
        <v>6</v>
      </c>
      <c r="R42" s="17" t="inlineStr">
        <is>
          <t>the open steppe (all movement, no cover)|the settlement edge (foot, riding)</t>
        </is>
      </c>
      <c r="T42" s="17" t="inlineStr">
        <is>
          <t>pol_diadem</t>
        </is>
      </c>
      <c r="U42" t="inlineStr">
        <is>
          <t>b</t>
        </is>
      </c>
    </row>
    <row r="43">
      <c r="A43" s="17" t="inlineStr">
        <is>
          <t>map_a07</t>
        </is>
      </c>
      <c r="B43" s="17" t="inlineStr">
        <is>
          <t>The Upper Scar</t>
        </is>
      </c>
      <c r="C43" s="17" t="n">
        <v>18</v>
      </c>
      <c r="D43" s="17" t="n">
        <v>10</v>
      </c>
      <c r="E43" s="17" t="inlineStr">
        <is>
          <t>defend</t>
        </is>
      </c>
      <c r="F43" s="17" t="n">
        <v>8</v>
      </c>
      <c r="G43" s="17" t="inlineStr">
        <is>
          <t>the rift's upper reach, still a sheer cliff, escarpment fighting along its edge</t>
        </is>
      </c>
      <c r="H43" s="17" t="inlineStr">
        <is>
          <t>ch_a07</t>
        </is>
      </c>
      <c r="I43" s="17" t="inlineStr">
        <is>
          <t>Grounded in locations.loc_upper_scar -- upstream of loc_lake_shore's own flooded stretch of the same rift; here it never filled. Terrain reuses ter_wall_face ('x') for the cliff edge itself (impassable to ground, flying passes over the void), purely for its cost profile, not its 'wall/temple' name -- same reuse discipline as ch_p_macuil's bell tower. objective_verb='defend' (turn_limit=8, matching precedent) -- 'escarpment fighting' reads as holding a position along the cliff, not reaching a fixed point.</t>
        </is>
      </c>
      <c r="J43" s="17" t="inlineStr">
        <is>
          <t>no</t>
        </is>
      </c>
      <c r="K43" s="17" t="inlineStr">
        <is>
          <t>none</t>
        </is>
      </c>
      <c r="L43" s="17" t="inlineStr">
        <is>
          <t>no</t>
        </is>
      </c>
      <c r="M43" s="17" t="n">
        <v>2</v>
      </c>
      <c r="N43" s="17" t="n">
        <v>0</v>
      </c>
      <c r="Q43" s="17" t="n">
        <v>6</v>
      </c>
      <c r="R43" s="17" t="inlineStr">
        <is>
          <t>the cliff-edge shelf (foot, riding, narrow)|the void beyond it (flying only)</t>
        </is>
      </c>
      <c r="T43" s="17" t="inlineStr">
        <is>
          <t>pol_diadem</t>
        </is>
      </c>
    </row>
    <row r="44">
      <c r="A44" s="17" t="inlineStr">
        <is>
          <t>map_a08</t>
        </is>
      </c>
      <c r="B44" s="17" t="inlineStr">
        <is>
          <t>The Timber Road</t>
        </is>
      </c>
      <c r="C44" s="17" t="n">
        <v>18</v>
      </c>
      <c r="D44" s="17" t="n">
        <v>12</v>
      </c>
      <c r="E44" s="17" t="inlineStr">
        <is>
          <t>seize</t>
        </is>
      </c>
      <c r="F44" s="17" t="n">
        <v>0</v>
      </c>
      <c r="G44" s="17" t="inlineStr">
        <is>
          <t>forest road, canopy overhead, fliers worthless and archers not</t>
        </is>
      </c>
      <c r="H44" s="17" t="inlineStr">
        <is>
          <t>ch_a08</t>
        </is>
      </c>
      <c r="I44" s="17" t="inlineStr">
        <is>
          <t>Grounded in locations.loc_timber_road. Terrain reuses ter_cloister ('i', from map_a03) for forest canopy purely for its cost profile (blocks flying outright, cost 1 every ground movement type) -- exactly 'fliers worthless, archers not', not for its 'cloister/indoors' name. objective_verb='seize' is an honest default.</t>
        </is>
      </c>
      <c r="J44" s="17" t="inlineStr">
        <is>
          <t>no</t>
        </is>
      </c>
      <c r="K44" s="17" t="inlineStr">
        <is>
          <t>none</t>
        </is>
      </c>
      <c r="L44" s="17" t="inlineStr">
        <is>
          <t>no</t>
        </is>
      </c>
      <c r="M44" s="17" t="n">
        <v>2</v>
      </c>
      <c r="N44" s="17" t="n">
        <v>0</v>
      </c>
      <c r="Q44" s="17" t="n">
        <v>6</v>
      </c>
      <c r="R44" s="17" t="inlineStr">
        <is>
          <t>the forest road (foot, riding)|the canopy (blocks flying)</t>
        </is>
      </c>
      <c r="T44" s="17" t="inlineStr">
        <is>
          <t>pol_diadem</t>
        </is>
      </c>
    </row>
    <row r="45">
      <c r="A45" s="17" t="inlineStr">
        <is>
          <t>map_a09</t>
        </is>
      </c>
      <c r="B45" s="17" t="inlineStr">
        <is>
          <t>The March Shrine</t>
        </is>
      </c>
      <c r="C45" s="17" t="n">
        <v>16</v>
      </c>
      <c r="D45" s="17" t="n">
        <v>10</v>
      </c>
      <c r="E45" s="17" t="inlineStr">
        <is>
          <t>seize</t>
        </is>
      </c>
      <c r="F45" s="17" t="n">
        <v>0</v>
      </c>
      <c r="G45" s="17" t="inlineStr">
        <is>
          <t>a shrine where sect_march's living prophecy is still being written</t>
        </is>
      </c>
      <c r="H45" s="17" t="inlineStr">
        <is>
          <t>ch_a09</t>
        </is>
      </c>
      <c r="I45" s="17" t="inlineStr">
        <is>
          <t>Grounded in locations.loc_march_shrine and sects.sect_march's own doctrine/notes. Terrain: shrine structure (ter_wall_face, 'x') and steps (ter_stair, 't') around an open shrine yard. ea_conscript_levy directly reuses sect_march's own line 'Prophecy NPCs convert green levies' -- these are levies mid-conversion, not an invented enemy. objective_verb='seize' is an honest default.</t>
        </is>
      </c>
      <c r="J45" s="17" t="inlineStr">
        <is>
          <t>no</t>
        </is>
      </c>
      <c r="K45" s="17" t="inlineStr">
        <is>
          <t>none</t>
        </is>
      </c>
      <c r="L45" s="17" t="inlineStr">
        <is>
          <t>no</t>
        </is>
      </c>
      <c r="M45" s="17" t="n">
        <v>2</v>
      </c>
      <c r="N45" s="17" t="n">
        <v>0</v>
      </c>
      <c r="Q45" s="17" t="n">
        <v>6</v>
      </c>
      <c r="R45" s="17" t="inlineStr">
        <is>
          <t>the shrine yard (foot, riding)|the shrine steps (foot only)</t>
        </is>
      </c>
      <c r="T45" s="17" t="inlineStr">
        <is>
          <t>pol_diadem</t>
        </is>
      </c>
      <c r="U45" t="inlineStr">
        <is>
          <t>x</t>
        </is>
      </c>
    </row>
    <row r="46">
      <c r="A46" s="17" t="inlineStr">
        <is>
          <t>map_a10</t>
        </is>
      </c>
      <c r="B46" s="17" t="inlineStr">
        <is>
          <t>The King's Chapel, Vetch</t>
        </is>
      </c>
      <c r="C46" s="17" t="n">
        <v>16</v>
      </c>
      <c r="D46" s="17" t="n">
        <v>10</v>
      </c>
      <c r="E46" s="17" t="inlineStr">
        <is>
          <t>seize</t>
        </is>
      </c>
      <c r="F46" s="17" t="n">
        <v>0</v>
      </c>
      <c r="G46" s="17" t="inlineStr">
        <is>
          <t>sect_court's home chapel at Vetch, loyalist and shut against strangers</t>
        </is>
      </c>
      <c r="H46" s="17" t="inlineStr">
        <is>
          <t>ch_a10</t>
        </is>
      </c>
      <c r="I46" s="17" t="inlineStr">
        <is>
          <t>Grounded in locations.loc_vetch_chapel's Act1 occurrence -- see chapters.ch_a10's own note on how this relates to ch_c21, the same location's Act2 return. Terrain reuses ter_wall_face ('x') for the chapel walls, same vocabulary as ch_d10's gate. objective_verb='seize' -- assembly's Act1 finale, a decisive push to reach the chapel, mirroring ch_d10's diadem finale.</t>
        </is>
      </c>
      <c r="J46" s="17" t="inlineStr">
        <is>
          <t>no</t>
        </is>
      </c>
      <c r="K46" s="17" t="inlineStr">
        <is>
          <t>none</t>
        </is>
      </c>
      <c r="L46" s="17" t="inlineStr">
        <is>
          <t>no</t>
        </is>
      </c>
      <c r="M46" s="17" t="n">
        <v>2</v>
      </c>
      <c r="N46" s="17" t="n">
        <v>0</v>
      </c>
      <c r="Q46" s="17" t="n">
        <v>6</v>
      </c>
      <c r="R46" s="17" t="inlineStr">
        <is>
          <t>the chapel yard (foot, riding)|the chapel walls (foot only, breach point)</t>
        </is>
      </c>
      <c r="T46" s="17" t="inlineStr">
        <is>
          <t>pol_diadem</t>
        </is>
      </c>
      <c r="U46" t="inlineStr">
        <is>
          <t>x</t>
        </is>
      </c>
    </row>
    <row r="47">
      <c r="A47" s="17" t="inlineStr">
        <is>
          <t>map_k21</t>
        </is>
      </c>
      <c r="B47" s="17" t="inlineStr">
        <is>
          <t>Kaisareia, the Granary District</t>
        </is>
      </c>
      <c r="C47" s="17" t="n">
        <v>22</v>
      </c>
      <c r="D47" s="17" t="n">
        <v>16</v>
      </c>
      <c r="E47" s="17" t="inlineStr">
        <is>
          <t>defend</t>
        </is>
      </c>
      <c r="F47" s="17" t="n">
        <v>10</v>
      </c>
      <c r="G47" s="17" t="inlineStr">
        <is>
          <t>the capital's granary district, silos and covered markets, the home front turned battlefield</t>
        </is>
      </c>
      <c r="H47" s="17" t="inlineStr">
        <is>
          <t>ch_k21</t>
        </is>
      </c>
      <c r="I47" s="17" t="inlineStr">
        <is>
          <t>Grounded in locations.loc_kaisareia_walls -- see chapters.ch_k21's own note for the sect_court attribution reasoning. Sized to this session's Act3 precedent (map_e31/map_h31's own 22x16, within the maps tab's own '20x25 to 30x20' sizing band note). Terrain: granary silo blocks (ter_building, 'b', impassable) scattered through open plaza ground, a covered market strip (ter_covered_market, 'k', blocks flying) along the main street. objective_verb='defend' (turn_limit=10, matching map_e31's own precedent) -- holding the district for 10 turns or defeating the boss early.</t>
        </is>
      </c>
      <c r="J47" s="17" t="inlineStr">
        <is>
          <t>no</t>
        </is>
      </c>
      <c r="K47" s="17" t="inlineStr">
        <is>
          <t>none</t>
        </is>
      </c>
      <c r="L47" s="17" t="inlineStr">
        <is>
          <t>no</t>
        </is>
      </c>
      <c r="M47" s="17" t="n">
        <v>3</v>
      </c>
      <c r="N47" s="17" t="n">
        <v>0</v>
      </c>
      <c r="Q47" s="17" t="n">
        <v>9</v>
      </c>
      <c r="R47" s="17" t="inlineStr">
        <is>
          <t>the plaza (foot, riding)|the covered market (blocks flying)|the silo blocks (impassable, all types)</t>
        </is>
      </c>
      <c r="U47" t="inlineStr">
        <is>
          <t>b</t>
        </is>
      </c>
    </row>
    <row r="48">
      <c r="A48" s="17" t="inlineStr">
        <is>
          <t>map_k22</t>
        </is>
      </c>
      <c r="B48" s="17" t="inlineStr">
        <is>
          <t>What Feeds the Colossus</t>
        </is>
      </c>
      <c r="C48" s="17" t="n">
        <v>22</v>
      </c>
      <c r="D48" s="17" t="n">
        <v>16</v>
      </c>
      <c r="E48" s="17" t="inlineStr">
        <is>
          <t>seize</t>
        </is>
      </c>
      <c r="F48" s="17" t="n">
        <v>0</v>
      </c>
      <c r="G48" s="17" t="inlineStr">
        <is>
          <t>the same district embattled, rubble from the fighting, the synod's colossus standing at its heart</t>
        </is>
      </c>
      <c r="H48" s="17" t="inlineStr">
        <is>
          <t>ch_k22</t>
        </is>
      </c>
      <c r="I48" s="17" t="inlineStr">
        <is>
          <t>Grounded in locations.loc_kaisareia_walls, second entry -- see chapters.ch_k22's own note on the unresolved 'colossus' cross-reference to ch_e32_perverse/the_hierophant. Terrain reuses ter_rubble ('u', from map_a03) for battle damage and ter_statue ('S', from prologue_structures) for the colossus itself -- 'a false godhood given a body' reads as a literal giant idol, the same reuse logic as ter_wall_face standing in for a bell tower elsewhere this session, chosen for its impassable-to-ground/flying-passes cost profile, not because this colossus is claimed to be the same structure as the Idol's own. objective_verb='seize' -- reach the feeding conduit at its base.</t>
        </is>
      </c>
      <c r="J48" s="17" t="inlineStr">
        <is>
          <t>no</t>
        </is>
      </c>
      <c r="K48" s="17" t="inlineStr">
        <is>
          <t>none</t>
        </is>
      </c>
      <c r="L48" s="17" t="inlineStr">
        <is>
          <t>no</t>
        </is>
      </c>
      <c r="M48" s="17" t="n">
        <v>3</v>
      </c>
      <c r="N48" s="17" t="n">
        <v>0</v>
      </c>
      <c r="Q48" s="17" t="n">
        <v>9</v>
      </c>
      <c r="R48" s="17" t="inlineStr">
        <is>
          <t>the rubble field (all movement, hazard)|the colossus base (foot, riding)</t>
        </is>
      </c>
    </row>
    <row r="49">
      <c r="A49" s="17" t="inlineStr">
        <is>
          <t>map_ct19</t>
        </is>
      </c>
      <c r="B49" s="17" t="inlineStr">
        <is>
          <t>The Cinder Track</t>
        </is>
      </c>
      <c r="C49" s="17" t="n">
        <v>20</v>
      </c>
      <c r="D49" s="17" t="n">
        <v>8</v>
      </c>
      <c r="E49" s="17" t="inlineStr">
        <is>
          <t>escape</t>
        </is>
      </c>
      <c r="F49" s="17" t="n">
        <v>0</v>
      </c>
      <c r="G49" s="17" t="inlineStr">
        <is>
          <t>ash underfoot, bad air, the Karkadann's country</t>
        </is>
      </c>
      <c r="H49" s="17" t="inlineStr">
        <is>
          <t>ch_ct19</t>
        </is>
      </c>
      <c r="I49" s="17" t="inlineStr">
        <is>
          <t>Grounded in locations.loc_cinder_track. Terrain reuses ter_miasma ('m', already grounded for rgn_ashland's own ash on ch_p_karkadann/ch_d09) for the hazard band crossing the track. objective_verb='escape' -- min_solution_units units reach the 'E' tile, same mechanism as ch_p_huma/ch_d09's own roads.</t>
        </is>
      </c>
      <c r="J49" s="17" t="inlineStr">
        <is>
          <t>no</t>
        </is>
      </c>
      <c r="K49" s="17" t="inlineStr">
        <is>
          <t>none</t>
        </is>
      </c>
      <c r="L49" s="17" t="inlineStr">
        <is>
          <t>no</t>
        </is>
      </c>
      <c r="M49" s="17" t="n">
        <v>2</v>
      </c>
      <c r="N49" s="17" t="n">
        <v>0</v>
      </c>
      <c r="Q49" s="17" t="n">
        <v>8</v>
      </c>
      <c r="R49" s="17" t="inlineStr">
        <is>
          <t>the clear ground (foot, riding)|the ash band (all movement, hazard)</t>
        </is>
      </c>
    </row>
    <row r="50">
      <c r="A50" s="17" t="inlineStr">
        <is>
          <t>map_tp19</t>
        </is>
      </c>
      <c r="B50" s="17" t="inlineStr">
        <is>
          <t>The Throat Pass</t>
        </is>
      </c>
      <c r="C50" s="17" t="n">
        <v>18</v>
      </c>
      <c r="D50" s="17" t="n">
        <v>12</v>
      </c>
      <c r="E50" s="17" t="inlineStr">
        <is>
          <t>seize</t>
        </is>
      </c>
      <c r="F50" s="17" t="n">
        <v>0</v>
      </c>
      <c r="G50" s="17" t="inlineStr">
        <is>
          <t>a narrow pass held by whoever taxes it this year, cliffs flanking a single channel</t>
        </is>
      </c>
      <c r="H50" s="17" t="inlineStr">
        <is>
          <t>ch_tp19</t>
        </is>
      </c>
      <c r="I50" s="17" t="inlineStr">
        <is>
          <t>Grounded in locations.loc_throat_pass. Terrain reuses ter_wall_face ('x') for the flanking cliffs (impassable to ground, flying passes) around a single open channel -- 'held by whoever taxes it' reads as a chokepoint worth controlling. objective_verb='seize' -- the checkpoint itself.</t>
        </is>
      </c>
      <c r="J50" s="17" t="inlineStr">
        <is>
          <t>no</t>
        </is>
      </c>
      <c r="K50" s="17" t="inlineStr">
        <is>
          <t>none</t>
        </is>
      </c>
      <c r="L50" s="17" t="inlineStr">
        <is>
          <t>no</t>
        </is>
      </c>
      <c r="M50" s="17" t="n">
        <v>2</v>
      </c>
      <c r="N50" s="17" t="n">
        <v>0</v>
      </c>
      <c r="Q50" s="17" t="n">
        <v>8</v>
      </c>
      <c r="R50" s="17" t="inlineStr">
        <is>
          <t>the channel (foot, riding)|the flanking cliffs (impassable, flying passes)</t>
        </is>
      </c>
    </row>
    <row r="51">
      <c r="A51" s="17" t="inlineStr">
        <is>
          <t>map_rf20</t>
        </is>
      </c>
      <c r="B51" s="17" t="inlineStr">
        <is>
          <t>The Reunion</t>
        </is>
      </c>
      <c r="C51" s="17" t="n">
        <v>20</v>
      </c>
      <c r="D51" s="17" t="n">
        <v>14</v>
      </c>
      <c r="E51" s="17" t="inlineStr">
        <is>
          <t>seize</t>
        </is>
      </c>
      <c r="F51" s="17" t="n">
        <v>0</v>
      </c>
      <c r="G51" s="17" t="inlineStr">
        <is>
          <t>an open field where both columns' forces make camp and meet</t>
        </is>
      </c>
      <c r="H51" s="17" t="inlineStr">
        <is>
          <t>ch_rf20</t>
        </is>
      </c>
      <c r="I51" s="17" t="inlineStr">
        <is>
          <t>Grounded in locations.loc_reunion_field. Terrain: mostly open ground with two small camp clusters (ter_covered_market, 'k', blocks flying) at opposite corners, representing each column's own gathered forces, converging toward a central seize point. See chapters.ch_rf20's own note on why this is a standard battle map rather than a special non-combat scene.</t>
        </is>
      </c>
      <c r="J51" s="17" t="inlineStr">
        <is>
          <t>no</t>
        </is>
      </c>
      <c r="K51" s="17" t="inlineStr">
        <is>
          <t>none</t>
        </is>
      </c>
      <c r="L51" s="17" t="inlineStr">
        <is>
          <t>no</t>
        </is>
      </c>
      <c r="M51" s="17" t="n">
        <v>2</v>
      </c>
      <c r="N51" s="17" t="n">
        <v>0</v>
      </c>
      <c r="Q51" s="17" t="n">
        <v>8</v>
      </c>
      <c r="R51" s="17" t="inlineStr">
        <is>
          <t>the open field (all movement)|the camps (blocks flying)</t>
        </is>
      </c>
    </row>
    <row r="52">
      <c r="A52" s="25" t="inlineStr">
        <is>
          <t>Sizing band 20x25 to 30x20. Act 3 embeds reuse_in_act3 tilemaps into larger battlefields.</t>
        </is>
      </c>
    </row>
    <row r="53">
      <c r="A53" s="25" t="inlineStr">
        <is>
          <t>MAP LAWS. 1) Every reinforcement has an address: a visible den, ideally capturable, and it may never arrive inside the movement range of a unit who could not have seen it. 2) No single unit solves a map: min_solution_units &gt;= 2, enforced by non-atomic objectives (two seize points, a seal stripped before damage lands, three tiles held at once). 3) A set-piece boss is unreachable for N turns FOR A VISIBLE REASON. 4) Forced deploys are budgeted (&lt;= 1/3 of slots), named, and never a unit held under three chapters. Diversity is an optimized choice, never a constraint: &gt;= 2 approaches favouring different movement types.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cols>
    <col width="18" customWidth="1" style="18" min="1" max="1"/>
    <col width="18" customWidth="1" style="18" min="2" max="2"/>
    <col width="10" customWidth="1" style="18" min="3" max="3"/>
    <col width="12" customWidth="1" style="18" min="4" max="4"/>
    <col width="10" customWidth="1" style="18" min="5" max="5"/>
    <col width="6" customWidth="1" style="18" min="6" max="6"/>
    <col width="5" customWidth="1" style="18" min="7" max="7"/>
    <col width="5" customWidth="1" style="18" min="8" max="8"/>
    <col width="5" customWidth="1" style="18" min="9" max="9"/>
    <col width="5" customWidth="1" style="18" min="10" max="10"/>
    <col width="5" customWidth="1" style="18" min="11" max="11"/>
    <col width="5" customWidth="1" style="18" min="12" max="12"/>
    <col width="5" customWidth="1" style="18" min="13" max="13"/>
    <col width="5" customWidth="1" style="18" min="14" max="14"/>
    <col width="55" customWidth="1" style="18" min="15" max="15"/>
    <col width="14" customWidth="1" style="18" min="16" max="16"/>
    <col width="16" customWidth="1" style="18" min="18" max="18"/>
    <col width="14" customWidth="1" style="18" min="19" max="19"/>
    <col width="14" customWidth="1" style="18" min="20" max="20"/>
    <col width="40" customWidth="1" style="18" min="21" max="21"/>
    <col width="16" customWidth="1" style="18" min="22" max="22"/>
    <col width="14" customWidth="1" style="18" min="23" max="23"/>
    <col width="14" customWidth="1" style="18" min="24" max="24"/>
  </cols>
  <sheetData>
    <row r="1">
      <c r="A1" s="26" t="inlineStr">
        <is>
          <t>enemy_id</t>
        </is>
      </c>
      <c r="B1" s="26" t="inlineStr">
        <is>
          <t>name</t>
        </is>
      </c>
      <c r="C1" s="26" t="inlineStr">
        <is>
          <t>weapon_art</t>
        </is>
      </c>
      <c r="D1" s="26" t="inlineStr">
        <is>
          <t>weapon_tier</t>
        </is>
      </c>
      <c r="E1" s="26" t="inlineStr">
        <is>
          <t>movement_type</t>
        </is>
      </c>
      <c r="F1" s="26" t="inlineStr">
        <is>
          <t>tier</t>
        </is>
      </c>
      <c r="G1" s="26" t="inlineStr">
        <is>
          <t>level</t>
        </is>
      </c>
      <c r="H1" s="26" t="inlineStr">
        <is>
          <t>hp</t>
        </is>
      </c>
      <c r="I1" s="26" t="inlineStr">
        <is>
          <t>str</t>
        </is>
      </c>
      <c r="J1" s="26" t="inlineStr">
        <is>
          <t>mag</t>
        </is>
      </c>
      <c r="K1" s="26" t="inlineStr">
        <is>
          <t>dex</t>
        </is>
      </c>
      <c r="L1" s="26" t="inlineStr">
        <is>
          <t>spd</t>
        </is>
      </c>
      <c r="M1" s="26" t="inlineStr">
        <is>
          <t>lck</t>
        </is>
      </c>
      <c r="N1" s="26" t="inlineStr">
        <is>
          <t>def</t>
        </is>
      </c>
      <c r="O1" s="26" t="inlineStr">
        <is>
          <t>res</t>
        </is>
      </c>
      <c r="P1" s="26" t="inlineStr">
        <is>
          <t>behavior</t>
        </is>
      </c>
      <c r="Q1" s="26" t="inlineStr">
        <is>
          <t>first_seen_map_id</t>
        </is>
      </c>
      <c r="R1" s="26" t="inlineStr">
        <is>
          <t>weapon_id</t>
        </is>
      </c>
      <c r="S1" s="26" t="inlineStr">
        <is>
          <t>flees_below_pct</t>
        </is>
      </c>
      <c r="T1" s="26" t="inlineStr">
        <is>
          <t>talk_mod</t>
        </is>
      </c>
      <c r="U1" s="26" t="inlineStr">
        <is>
          <t>talk_line</t>
        </is>
      </c>
      <c r="V1" s="26" t="inlineStr">
        <is>
          <t>named_id</t>
        </is>
      </c>
      <c r="W1" s="26" t="inlineStr">
        <is>
          <t>affiliation</t>
        </is>
      </c>
      <c r="X1" s="26" t="inlineStr">
        <is>
          <t>death_noun</t>
        </is>
      </c>
    </row>
    <row r="2">
      <c r="A2" s="17" t="inlineStr">
        <is>
          <t>ea_garrison</t>
        </is>
      </c>
      <c r="B2" s="17" t="inlineStr">
        <is>
          <t>Garrison soldier</t>
        </is>
      </c>
      <c r="C2" s="17" t="inlineStr">
        <is>
          <t>sword</t>
        </is>
      </c>
      <c r="D2" s="17" t="inlineStr">
        <is>
          <t>basic</t>
        </is>
      </c>
      <c r="E2" s="17" t="inlineStr">
        <is>
          <t>infantry</t>
        </is>
      </c>
      <c r="F2" s="17" t="inlineStr">
        <is>
          <t>commoner</t>
        </is>
      </c>
      <c r="G2" s="17" t="n">
        <v>1</v>
      </c>
      <c r="H2" s="17" t="n">
        <v>10</v>
      </c>
      <c r="I2" s="17" t="n">
        <v>2</v>
      </c>
      <c r="J2" s="17" t="n">
        <v>0</v>
      </c>
      <c r="K2" s="17" t="n">
        <v>2</v>
      </c>
      <c r="L2" s="17" t="n">
        <v>1</v>
      </c>
      <c r="M2" s="17" t="n">
        <v>1</v>
      </c>
      <c r="N2" s="17" t="n">
        <v>1</v>
      </c>
      <c r="O2" s="17" t="n">
        <v>0</v>
      </c>
      <c r="P2" s="17" t="inlineStr">
        <is>
          <t>Explicitly 'fatigued and not a threat' per map_f00's own design note -- deliberately below even commoner baseline, not a mistake.</t>
        </is>
      </c>
      <c r="Q2" s="17" t="inlineStr">
        <is>
          <t>map_f00</t>
        </is>
      </c>
      <c r="T2" s="17" t="n">
        <v>30</v>
      </c>
      <c r="U2" s="17" t="inlineStr">
        <is>
          <t>We were told it was a drill. ... It isn't, is it.</t>
        </is>
      </c>
      <c r="W2" s="17" t="inlineStr">
        <is>
          <t>state</t>
        </is>
      </c>
      <c r="X2" s="17" t="inlineStr">
        <is>
          <t>sword</t>
        </is>
      </c>
    </row>
    <row r="3">
      <c r="A3" s="17" t="inlineStr">
        <is>
          <t>ea_conscript_levy</t>
        </is>
      </c>
      <c r="B3" s="17" t="inlineStr">
        <is>
          <t>Conscript levy</t>
        </is>
      </c>
      <c r="C3" s="17" t="inlineStr">
        <is>
          <t>lance</t>
        </is>
      </c>
      <c r="D3" s="17" t="inlineStr">
        <is>
          <t>basic</t>
        </is>
      </c>
      <c r="E3" s="17" t="inlineStr">
        <is>
          <t>infantry</t>
        </is>
      </c>
      <c r="F3" s="17" t="inlineStr">
        <is>
          <t>commoner</t>
        </is>
      </c>
      <c r="G3" s="17" t="n">
        <v>1</v>
      </c>
      <c r="H3" s="17" t="n">
        <v>16</v>
      </c>
      <c r="I3" s="17" t="n">
        <v>3</v>
      </c>
      <c r="J3" s="17" t="n">
        <v>1</v>
      </c>
      <c r="K3" s="17" t="n">
        <v>3</v>
      </c>
      <c r="L3" s="17" t="n">
        <v>3</v>
      </c>
      <c r="M3" s="17" t="n">
        <v>3</v>
      </c>
      <c r="N3" s="17" t="n">
        <v>2</v>
      </c>
      <c r="O3" s="17" t="n">
        <v>1</v>
      </c>
      <c r="P3" s="17" t="inlineStr">
        <is>
          <t>Flees below half HP, counted separately from other losses (map_d02's own design note: 'conscript levies flee below half HP, counted separately'). 'Green levies' elsewhere (map_a02) are the same archetype -- a preacher converts them there, not modeled here.</t>
        </is>
      </c>
      <c r="Q3" s="17" t="inlineStr">
        <is>
          <t>map_d02</t>
        </is>
      </c>
      <c r="S3" s="17" t="n">
        <v>50</v>
      </c>
      <c r="T3" s="17" t="n">
        <v>20</v>
      </c>
      <c r="U3" s="17" t="inlineStr">
        <is>
          <t>I never wanted this spear. Tell them you never saw me.</t>
        </is>
      </c>
      <c r="W3" s="17" t="inlineStr">
        <is>
          <t>state</t>
        </is>
      </c>
      <c r="X3" s="17" t="inlineStr">
        <is>
          <t>spear</t>
        </is>
      </c>
    </row>
    <row r="4">
      <c r="A4" s="17" t="inlineStr">
        <is>
          <t>ea_looter</t>
        </is>
      </c>
      <c r="B4" s="17" t="inlineStr">
        <is>
          <t>Looter</t>
        </is>
      </c>
      <c r="C4" s="17" t="inlineStr">
        <is>
          <t>axe</t>
        </is>
      </c>
      <c r="D4" s="17" t="inlineStr">
        <is>
          <t>basic</t>
        </is>
      </c>
      <c r="E4" s="17" t="inlineStr">
        <is>
          <t>infantry</t>
        </is>
      </c>
      <c r="F4" s="17" t="inlineStr">
        <is>
          <t>commoner</t>
        </is>
      </c>
      <c r="G4" s="17" t="n">
        <v>1</v>
      </c>
      <c r="H4" s="17" t="n">
        <v>16</v>
      </c>
      <c r="I4" s="17" t="n">
        <v>3</v>
      </c>
      <c r="J4" s="17" t="n">
        <v>1</v>
      </c>
      <c r="K4" s="17" t="n">
        <v>3</v>
      </c>
      <c r="L4" s="17" t="n">
        <v>3</v>
      </c>
      <c r="M4" s="17" t="n">
        <v>3</v>
      </c>
      <c r="N4" s="17" t="n">
        <v>2</v>
      </c>
      <c r="O4" s="17" t="n">
        <v>1</v>
      </c>
      <c r="P4" s="17" t="inlineStr">
        <is>
          <t>Kills unshielded civilians pursuing the medicine cart if it catches them (map_a01's own design note) -- a threat to the escort objective specifically, not necessarily to the player's units.</t>
        </is>
      </c>
      <c r="Q4" s="17" t="inlineStr">
        <is>
          <t>map_a01</t>
        </is>
      </c>
      <c r="W4" s="17" t="inlineStr">
        <is>
          <t>band</t>
        </is>
      </c>
      <c r="X4" s="17" t="inlineStr">
        <is>
          <t>axe</t>
        </is>
      </c>
    </row>
    <row r="5">
      <c r="A5" s="17" t="inlineStr">
        <is>
          <t>ea_relic_hunter</t>
        </is>
      </c>
      <c r="B5" s="17" t="inlineStr">
        <is>
          <t>Relic hunter</t>
        </is>
      </c>
      <c r="C5" s="17" t="inlineStr">
        <is>
          <t>bow</t>
        </is>
      </c>
      <c r="D5" s="17" t="inlineStr">
        <is>
          <t>basic</t>
        </is>
      </c>
      <c r="E5" s="17" t="inlineStr">
        <is>
          <t>infantry</t>
        </is>
      </c>
      <c r="F5" s="17" t="inlineStr">
        <is>
          <t>trained</t>
        </is>
      </c>
      <c r="G5" s="17" t="n">
        <v>5</v>
      </c>
      <c r="H5" s="17" t="n">
        <v>20</v>
      </c>
      <c r="I5" s="17" t="n">
        <v>5</v>
      </c>
      <c r="J5" s="17" t="n">
        <v>3</v>
      </c>
      <c r="K5" s="17" t="n">
        <v>6</v>
      </c>
      <c r="L5" s="17" t="n">
        <v>6</v>
      </c>
      <c r="M5" s="17" t="n">
        <v>5</v>
      </c>
      <c r="N5" s="17" t="n">
        <v>4</v>
      </c>
      <c r="O5" s="17" t="n">
        <v>3</v>
      </c>
      <c r="P5" s="17" t="inlineStr">
        <is>
          <t>Reinforces every 3 turns forever (map_a03's own design note) -- an attritional/escape-pressure enemy, not meant to be fully eliminated.</t>
        </is>
      </c>
      <c r="Q5" s="17" t="inlineStr">
        <is>
          <t>map_a03</t>
        </is>
      </c>
      <c r="W5" s="17" t="inlineStr">
        <is>
          <t>band</t>
        </is>
      </c>
      <c r="X5" s="17" t="inlineStr">
        <is>
          <t>arrow</t>
        </is>
      </c>
    </row>
    <row r="6">
      <c r="A6" s="17" t="inlineStr">
        <is>
          <t>ea_privateer</t>
        </is>
      </c>
      <c r="B6" s="17" t="inlineStr">
        <is>
          <t>Privateer</t>
        </is>
      </c>
      <c r="C6" s="17" t="inlineStr">
        <is>
          <t>sword</t>
        </is>
      </c>
      <c r="D6" s="17" t="inlineStr">
        <is>
          <t>basic</t>
        </is>
      </c>
      <c r="E6" s="17" t="inlineStr">
        <is>
          <t>infantry</t>
        </is>
      </c>
      <c r="F6" s="17" t="inlineStr">
        <is>
          <t>trained</t>
        </is>
      </c>
      <c r="G6" s="17" t="n">
        <v>5</v>
      </c>
      <c r="H6" s="17" t="n">
        <v>20</v>
      </c>
      <c r="I6" s="17" t="n">
        <v>5</v>
      </c>
      <c r="J6" s="17" t="n">
        <v>3</v>
      </c>
      <c r="K6" s="17" t="n">
        <v>6</v>
      </c>
      <c r="L6" s="17" t="n">
        <v>6</v>
      </c>
      <c r="M6" s="17" t="n">
        <v>5</v>
      </c>
      <c r="N6" s="17" t="n">
        <v>4</v>
      </c>
      <c r="O6" s="17" t="n">
        <v>3</v>
      </c>
      <c r="P6" s="17" t="inlineStr">
        <is>
          <t>Boards from the map edges; the Assembly bought this fleet and its guards outright, 'paid for in Anbar' (map_d05's own design note). Grapple lines are the dens they reinforce from -- cut one and it stops producing them, same attritional shape as ea_relic_hunter's den on map_a03.</t>
        </is>
      </c>
      <c r="Q6" s="17" t="inlineStr">
        <is>
          <t>map_d05</t>
        </is>
      </c>
      <c r="W6" s="17" t="inlineStr">
        <is>
          <t>band</t>
        </is>
      </c>
      <c r="X6" s="17" t="inlineStr">
        <is>
          <t>cutlass</t>
        </is>
      </c>
    </row>
    <row r="7">
      <c r="A7" s="17" t="inlineStr">
        <is>
          <t>ea_conquered_soldier</t>
        </is>
      </c>
      <c r="B7" s="17" t="inlineStr">
        <is>
          <t>Conquered soldier</t>
        </is>
      </c>
      <c r="C7" s="17" t="inlineStr">
        <is>
          <t>lance</t>
        </is>
      </c>
      <c r="D7" s="17" t="inlineStr">
        <is>
          <t>worn</t>
        </is>
      </c>
      <c r="E7" s="17" t="inlineStr">
        <is>
          <t>infantry</t>
        </is>
      </c>
      <c r="F7" s="17" t="inlineStr">
        <is>
          <t>paragon</t>
        </is>
      </c>
      <c r="G7" s="17" t="n">
        <v>40</v>
      </c>
      <c r="H7" s="17" t="n">
        <v>30</v>
      </c>
      <c r="I7" s="17" t="n">
        <v>6</v>
      </c>
      <c r="J7" s="17" t="n">
        <v>2</v>
      </c>
      <c r="K7" s="17" t="n">
        <v>8</v>
      </c>
      <c r="L7" s="17" t="n">
        <v>6</v>
      </c>
      <c r="M7" s="17" t="n">
        <v>5</v>
      </c>
      <c r="N7" s="17" t="n">
        <v>3</v>
      </c>
      <c r="O7" s="17" t="n">
        <v>2</v>
      </c>
      <c r="P7" s="17" t="inlineStr">
        <is>
          <t>Ur-Nashet's own standing army -- veteran, individually as capable as the conquering heroes on paper (hence tier/level display 'paragon'/40, matching the paragon classes' own 'lv30+' floor), but the city is being conquered as they fight: no armory, no resupply, whatever's left is worn-tier. Deliberately NOT run through the tier-baseline formula like the other archetypes here -- str/dex/spd/def/res are hand-set low (roughly trained-mook range) so the high level/tier display is flavor the fight itself contradicts, which is the entire point: skilled people, gutted by circumstance, very beatable. Not grounded in any existing canon.xlsx text -- map_f00 establishes the conquest and Sargath as king, but nothing there names Ur-Nashet's army or its condition; this whole archetype is new invented content per a direct request, not sourced.</t>
        </is>
      </c>
      <c r="Q7" s="17" t="inlineStr">
        <is>
          <t>map_f00</t>
        </is>
      </c>
      <c r="W7" s="17" t="inlineStr">
        <is>
          <t>state</t>
        </is>
      </c>
      <c r="X7" s="17" t="inlineStr">
        <is>
          <t>lance</t>
        </is>
      </c>
    </row>
    <row r="8">
      <c r="A8" s="17" t="inlineStr">
        <is>
          <t>ea_hardened_veteran</t>
        </is>
      </c>
      <c r="B8" s="17" t="inlineStr">
        <is>
          <t>Hardened veteran</t>
        </is>
      </c>
      <c r="C8" s="17" t="inlineStr">
        <is>
          <t>sword</t>
        </is>
      </c>
      <c r="D8" s="17" t="inlineStr">
        <is>
          <t>mid</t>
        </is>
      </c>
      <c r="E8" s="17" t="inlineStr">
        <is>
          <t>infantry</t>
        </is>
      </c>
      <c r="F8" s="17" t="inlineStr">
        <is>
          <t>order</t>
        </is>
      </c>
      <c r="G8" s="17" t="n">
        <v>15</v>
      </c>
      <c r="H8" s="17" t="n">
        <v>30</v>
      </c>
      <c r="I8" s="17" t="n">
        <v>10</v>
      </c>
      <c r="J8" s="17" t="n">
        <v>5</v>
      </c>
      <c r="K8" s="17" t="n">
        <v>13</v>
      </c>
      <c r="L8" s="17" t="n">
        <v>12</v>
      </c>
      <c r="M8" s="17" t="n">
        <v>9</v>
      </c>
      <c r="N8" s="17" t="n">
        <v>9</v>
      </c>
      <c r="O8" s="17" t="n">
        <v>7</v>
      </c>
      <c r="P8" s="17" t="inlineStr">
        <is>
          <t>Generic sidequest-tier template, not tied to any specific map or written encounter -- reskin/rename once an actual optional-objective fight gets designed. Stats reuse the 'order' tier baseline (lv15+, same bracket classes.tier already uses for 'pair-certified' player classes) reconstructed from unit_base_stats' order-tier rows minus their growth-derived bonus -- an estimate, since the exact hidden baseline was never written down anywhere, only implicit in how unit_base_stats got generated. A step up from the trained-tier mooks (ea_relic_hunter, ea_privateer) via both stat bracket and a mid-tier weapon instead of basic.</t>
        </is>
      </c>
      <c r="Q8" s="17" t="n"/>
      <c r="W8" s="17" t="inlineStr">
        <is>
          <t>state</t>
        </is>
      </c>
      <c r="X8" s="17" t="inlineStr">
        <is>
          <t>sword</t>
        </is>
      </c>
    </row>
    <row r="9">
      <c r="A9" s="17" t="inlineStr">
        <is>
          <t>ea_war_captain</t>
        </is>
      </c>
      <c r="B9" s="17" t="inlineStr">
        <is>
          <t>War captain</t>
        </is>
      </c>
      <c r="C9" s="17" t="inlineStr">
        <is>
          <t>lance</t>
        </is>
      </c>
      <c r="D9" s="17" t="inlineStr">
        <is>
          <t>high</t>
        </is>
      </c>
      <c r="E9" s="17" t="inlineStr">
        <is>
          <t>infantry</t>
        </is>
      </c>
      <c r="F9" s="17" t="inlineStr">
        <is>
          <t>order</t>
        </is>
      </c>
      <c r="G9" s="17" t="n">
        <v>20</v>
      </c>
      <c r="H9" s="17" t="n">
        <v>42</v>
      </c>
      <c r="I9" s="17" t="n">
        <v>12</v>
      </c>
      <c r="J9" s="17" t="n">
        <v>5</v>
      </c>
      <c r="K9" s="17" t="n">
        <v>15</v>
      </c>
      <c r="L9" s="17" t="n">
        <v>14</v>
      </c>
      <c r="M9" s="17" t="n">
        <v>10</v>
      </c>
      <c r="N9" s="17" t="n">
        <v>11</v>
      </c>
      <c r="O9" s="17" t="n">
        <v>8</v>
      </c>
      <c r="P9" s="17" t="inlineStr">
        <is>
          <t>Generic miniboss-tier template, not tied to any specific map -- reskin/rename per encounter. Same reconstructed order-tier baseline as ea_hardened_veteran, plus flat HP padding (+12) and a high-tier weapon instead of mid -- 'survives more than one exchange' is a deliberate design choice for named/boss-weight fights, a standard convention in this genre (this design's own stated FE lineage per PROJECT_HANDOFF.md), not sourced from canon.xlsx.</t>
        </is>
      </c>
      <c r="Q9" s="17" t="n"/>
      <c r="W9" s="17" t="inlineStr">
        <is>
          <t>state</t>
        </is>
      </c>
      <c r="X9" s="17" t="inlineStr">
        <is>
          <t>lance</t>
        </is>
      </c>
    </row>
    <row r="10">
      <c r="A10" s="17" t="inlineStr">
        <is>
          <t>ea_warlord</t>
        </is>
      </c>
      <c r="B10" s="17" t="inlineStr">
        <is>
          <t>Warlord</t>
        </is>
      </c>
      <c r="C10" s="17" t="inlineStr">
        <is>
          <t>axe</t>
        </is>
      </c>
      <c r="D10" s="17" t="inlineStr">
        <is>
          <t>high</t>
        </is>
      </c>
      <c r="E10" s="17" t="inlineStr">
        <is>
          <t>infantry</t>
        </is>
      </c>
      <c r="F10" s="17" t="inlineStr">
        <is>
          <t>paragon</t>
        </is>
      </c>
      <c r="G10" s="17" t="n">
        <v>35</v>
      </c>
      <c r="H10" s="17" t="n">
        <v>70</v>
      </c>
      <c r="I10" s="17" t="n">
        <v>18</v>
      </c>
      <c r="J10" s="17" t="n">
        <v>8</v>
      </c>
      <c r="K10" s="17" t="n">
        <v>22</v>
      </c>
      <c r="L10" s="17" t="n">
        <v>20</v>
      </c>
      <c r="M10" s="17" t="n">
        <v>15</v>
      </c>
      <c r="N10" s="17" t="n">
        <v>16</v>
      </c>
      <c r="O10" s="17" t="n">
        <v>13</v>
      </c>
      <c r="P10" s="17" t="inlineStr">
        <is>
          <t>Generic boss-tier template, not tied to any specific map -- reskin/rename per chapter. Reconstructed 'paragon' tier baseline (lv30+, same bracket classes.tier uses for the deed-gated legendary player classes) continuing the same commoner-&gt;trained-&gt;order extrapolation as ea_hardened_veteran/ea_war_captain, plus heavier HP padding (+25) and a high-tier weapon. The toughest generic template in this tab. Unlike ea_conquered_soldier, this one's stats are NOT deliberately undercut -- a boss should actually be dangerous.</t>
        </is>
      </c>
      <c r="Q10" s="17" t="n"/>
      <c r="W10" s="17" t="inlineStr">
        <is>
          <t>state</t>
        </is>
      </c>
      <c r="X10" s="17" t="inlineStr">
        <is>
          <t>axe</t>
        </is>
      </c>
    </row>
    <row r="11">
      <c r="A11" s="17" t="inlineStr">
        <is>
          <t>ea_preacher_boyan</t>
        </is>
      </c>
      <c r="B11" s="17" t="inlineStr">
        <is>
          <t>Boyan, the preacher</t>
        </is>
      </c>
      <c r="C11" s="17" t="inlineStr">
        <is>
          <t>faith</t>
        </is>
      </c>
      <c r="D11" s="17" t="inlineStr">
        <is>
          <t>basic</t>
        </is>
      </c>
      <c r="E11" s="17" t="inlineStr">
        <is>
          <t>infantry</t>
        </is>
      </c>
      <c r="F11" s="17" t="inlineStr">
        <is>
          <t>order</t>
        </is>
      </c>
      <c r="G11" s="17" t="n">
        <v>15</v>
      </c>
      <c r="H11" s="17" t="n">
        <v>24</v>
      </c>
      <c r="I11" s="17" t="n">
        <v>4</v>
      </c>
      <c r="J11" s="17" t="n">
        <v>8</v>
      </c>
      <c r="K11" s="17" t="n">
        <v>12</v>
      </c>
      <c r="L11" s="17" t="n">
        <v>11</v>
      </c>
      <c r="M11" s="17" t="n">
        <v>10</v>
      </c>
      <c r="N11" s="17" t="n">
        <v>6</v>
      </c>
      <c r="O11" s="17" t="n">
        <v>9</v>
      </c>
      <c r="P11" s="17" t="inlineStr">
        <is>
          <t>map_a02's own design note: 'preacher converts 1 townsfolk/turn; kill / answer / capture' -- three resolution paths, so he has to actually be fightable, not just flavor text. chapters.ch_a02.notes independently confirms capture matters: 'jailed preacher is an Act 2 hook.' Worth flagging: chapters.ch_a02.teaches_system says 'talk / capture / disperse' -- slightly different wording than the map's own 'kill / answer / capture' (talk~=answer, disperse~=kill, presumably, but that's a guess, not a resolution of the inconsistency). u_edda joins this same chapter auto ('village reciter') -- a reciter countering a preacher's rhetoric reads as a strong candidate for the 'answer' path, though nothing in units.u_edda's own row states that outright, so treat it as a suggested thread, not settled canon. Named/flavored as a Bogomil-adjacent heretical dualist preacher, leaning on naming_reference's ref_bogomils entry (status: 'UNFINISHED BUSINESS -- flagged as a candidate 5th/6th sect... never followed up') -- an interpretive choice, not an assignment naming_reference itself makes. Reskin of the ea_hardened_veteran sidequest-tier template (order/mid instead of a mook's trained/basic) with str/mag swapped the way Enmet/Ilat's prologue stats already are, and hp/def/res hand-tuned down from the template -- a rhetorician, not a soldier. Playtested against u_gunnar (bow, personal tier, one of ch_a02's own recruits, chosen because his class notes literally say 'Capture + Shove mercy kit' -- he's the intended actor for the 'capture' path) via a live Combat.gd data check: at mag 11 / weapon_tier mid, Boyan hit for 15 at 91% against Gunnar's 20 HP -- close to a two-round kill on a level-1 recruit, too sharp a spike for Act 1 Chapter 2. Turned down to mag 8 / weapon_tier basic (was 11/mid); re-verified at 9 damage / 91% hit, a real threat but not a near-instant loss. u_edda ('village reciter', the 'answer' candidate) turns out to have base_class_id cls_skald, art_primary 'none' -- she literally cannot fight, which reads as strong indirect confirmation that 'answer' is meant to be a non-combat resolution, not a combat one.</t>
        </is>
      </c>
      <c r="Q11" s="17" t="inlineStr">
        <is>
          <t>map_a02</t>
        </is>
      </c>
      <c r="T11" s="17" t="n">
        <v>-10</v>
      </c>
      <c r="U11" s="17" t="inlineStr">
        <is>
          <t>You answered the still night, and the night answers you. Go on, then.</t>
        </is>
      </c>
      <c r="W11" s="17" t="inlineStr">
        <is>
          <t>individual</t>
        </is>
      </c>
    </row>
    <row r="12">
      <c r="A12" s="17" t="inlineStr">
        <is>
          <t>ea_relic_hunter_captain</t>
        </is>
      </c>
      <c r="B12" s="17" t="inlineStr">
        <is>
          <t>Vitomir</t>
        </is>
      </c>
      <c r="C12" s="17" t="inlineStr">
        <is>
          <t>bow</t>
        </is>
      </c>
      <c r="D12" s="17" t="inlineStr">
        <is>
          <t>high</t>
        </is>
      </c>
      <c r="E12" s="17" t="inlineStr">
        <is>
          <t>infantry</t>
        </is>
      </c>
      <c r="F12" s="17" t="inlineStr">
        <is>
          <t>order</t>
        </is>
      </c>
      <c r="G12" s="17" t="n">
        <v>20</v>
      </c>
      <c r="H12" s="17" t="n">
        <v>38</v>
      </c>
      <c r="I12" s="17" t="n">
        <v>11</v>
      </c>
      <c r="J12" s="17" t="n">
        <v>3</v>
      </c>
      <c r="K12" s="17" t="n">
        <v>17</v>
      </c>
      <c r="L12" s="17" t="n">
        <v>15</v>
      </c>
      <c r="M12" s="17" t="n">
        <v>11</v>
      </c>
      <c r="N12" s="17" t="n">
        <v>9</v>
      </c>
      <c r="O12" s="17" t="n">
        <v>6</v>
      </c>
      <c r="P12" s="17" t="inlineStr">
        <is>
          <t>Commands the ea_relic_hunter squads that 'reinforce every 3 turns forever' per map_a03's own design note, and stands over the reliquary's 'take-or-give' objective. chapters.ch_a03.notes force- deploys u_torvald here specifically ('last of a plague-gutted order') -- tempting to tie the chapterhouse/reliquary to Torvald's own destroyed order, but nothing in canon.xlsx actually says that; flagging it as a possible thread worth writing toward, not asserting it as fact. u_anselm ('adrift monk; theology barometer') also joins this chapter, fitting a reliquary/sacred-relic objective generally, though again not explicitly tied to this fight by name anywhere. Name is invented, no naming_reference anchor -- a mercenary looter leader, not a Byzantine/Balkan historical figure, didn't force a fit. Reskin of the ea_war_captain miniboss-tier template, same bow art as his own relic hunters (differentiated by tier, not by art) -- one genuine step up from ea_preacher_boyan/a02, matching ch_a03 (chapter 3) being the harder escalation past ch_a02 (chapter 2).</t>
        </is>
      </c>
      <c r="Q12" s="17" t="inlineStr">
        <is>
          <t>map_a03</t>
        </is>
      </c>
      <c r="W12" s="17" t="inlineStr">
        <is>
          <t>individual</t>
        </is>
      </c>
    </row>
    <row r="13">
      <c r="A13" s="17" t="inlineStr">
        <is>
          <t>ea_shadhavar</t>
        </is>
      </c>
      <c r="B13" s="17" t="inlineStr">
        <is>
          <t>The Shadhavar</t>
        </is>
      </c>
      <c r="C13" s="17" t="inlineStr">
        <is>
          <t>reason</t>
        </is>
      </c>
      <c r="D13" s="17" t="inlineStr">
        <is>
          <t>high</t>
        </is>
      </c>
      <c r="E13" s="17" t="inlineStr">
        <is>
          <t>riding</t>
        </is>
      </c>
      <c r="F13" s="17" t="inlineStr">
        <is>
          <t>paragon</t>
        </is>
      </c>
      <c r="G13" s="17" t="n">
        <v>33</v>
      </c>
      <c r="H13" s="17" t="n">
        <v>68</v>
      </c>
      <c r="I13" s="17" t="n">
        <v>14</v>
      </c>
      <c r="J13" s="17" t="n">
        <v>20</v>
      </c>
      <c r="K13" s="17" t="n">
        <v>18</v>
      </c>
      <c r="L13" s="17" t="n">
        <v>24</v>
      </c>
      <c r="M13" s="17" t="n">
        <v>12</v>
      </c>
      <c r="N13" s="17" t="n">
        <v>12</v>
      </c>
      <c r="O13" s="17" t="n">
        <v>18</v>
      </c>
      <c r="P13" s="17" t="inlineStr">
        <is>
          <t>Represents named.nmd_shadhavar as a reachable/fightable stand-in for ch_p_shadhavar's capstone encounter -- same pattern as ea_warlord standing in for Macuil and Indech. named.nmd_shadhavar itself gives no stat block anywhere in canon.xlsx (none of the five Named do), so every number here is an invented placeholder pending real design, same caveat every other capstone row in this tab already carries. movement_type='riding' is an interpretive call (a large four-legged singing beast reads closer to cavalry-speed than foot or armor -- nothing in named.nmd_shadhavar states a movement type). weapon_art is a placeholder too: its actual 'attack' per named.nmd_shadhavar's own signature_mechanic is the always-on song-pull, not a weapon, and that pull effect is NOT implemented here or in map_grid.gd -- this row only lets the encounter exist as a normal fight, it does not model the Named's real mechanic. tier/level/hp set to capstone weight, matching ea_warlord's own bracket.</t>
        </is>
      </c>
      <c r="Q13" s="17" t="inlineStr">
        <is>
          <t>map_p_shadhavar</t>
        </is>
      </c>
      <c r="V13" s="17" t="inlineStr">
        <is>
          <t>nmd_shadhavar</t>
        </is>
      </c>
      <c r="W13" s="17" t="inlineStr">
        <is>
          <t>named</t>
        </is>
      </c>
    </row>
    <row r="14">
      <c r="A14" s="17" t="inlineStr">
        <is>
          <t>ea_simurgh</t>
        </is>
      </c>
      <c r="B14" s="17" t="inlineStr">
        <is>
          <t>The Simurgh</t>
        </is>
      </c>
      <c r="C14" s="17" t="inlineStr">
        <is>
          <t>faith</t>
        </is>
      </c>
      <c r="D14" s="17" t="inlineStr">
        <is>
          <t>high</t>
        </is>
      </c>
      <c r="E14" s="17" t="inlineStr">
        <is>
          <t>flying</t>
        </is>
      </c>
      <c r="F14" s="17" t="inlineStr">
        <is>
          <t>paragon</t>
        </is>
      </c>
      <c r="G14" s="17" t="n">
        <v>33</v>
      </c>
      <c r="H14" s="17" t="n">
        <v>72</v>
      </c>
      <c r="I14" s="17" t="n">
        <v>10</v>
      </c>
      <c r="J14" s="17" t="n">
        <v>24</v>
      </c>
      <c r="K14" s="17" t="n">
        <v>16</v>
      </c>
      <c r="L14" s="17" t="n">
        <v>22</v>
      </c>
      <c r="M14" s="17" t="n">
        <v>18</v>
      </c>
      <c r="N14" s="17" t="n">
        <v>10</v>
      </c>
      <c r="O14" s="17" t="n">
        <v>24</v>
      </c>
      <c r="P14" s="17" t="inlineStr">
        <is>
          <t>Represents named.nmd_simurgh as a reachable/fightable stand-in for ch_p_simurgh's capstone encounter, same pattern as ea_warlord/ea_shadhavar. No stat block exists anywhere for the Named, so every number here is an invented placeholder. Skewed toward mag/res/lck over str/def -- 'foster-mother' and 'cleanses corruption' read as a protector, not a brawler, distinct from ea_shadhavar's more even spread. movement_type='flying' is a direct read of the Simurgh's own mythic register (a great bird), not an inference the way ea_shadhavar's 'riding' call had to be. weapon_art='faith' for the same reason -- 'cleanses corruption' is a healer's register, not a fighter's. Her real signature_mechanic (5 HP/turn to rider and adjacent allies) is NOT implemented here -- this row only lets the encounter exist as a normal fight, same scope limit as every other Named stand-in.</t>
        </is>
      </c>
      <c r="Q14" s="17" t="inlineStr">
        <is>
          <t>map_p_simurgh</t>
        </is>
      </c>
      <c r="V14" s="17" t="inlineStr">
        <is>
          <t>nmd_simurgh</t>
        </is>
      </c>
      <c r="W14" s="17" t="inlineStr">
        <is>
          <t>named</t>
        </is>
      </c>
    </row>
    <row r="15">
      <c r="A15" s="17" t="inlineStr">
        <is>
          <t>ea_karkadann</t>
        </is>
      </c>
      <c r="B15" s="17" t="inlineStr">
        <is>
          <t>The Karkadann</t>
        </is>
      </c>
      <c r="C15" s="17" t="inlineStr">
        <is>
          <t>brawl</t>
        </is>
      </c>
      <c r="D15" s="17" t="inlineStr">
        <is>
          <t>high</t>
        </is>
      </c>
      <c r="E15" s="17" t="inlineStr">
        <is>
          <t>riding</t>
        </is>
      </c>
      <c r="F15" s="17" t="inlineStr">
        <is>
          <t>paragon</t>
        </is>
      </c>
      <c r="G15" s="17" t="n">
        <v>33</v>
      </c>
      <c r="H15" s="17" t="n">
        <v>78</v>
      </c>
      <c r="I15" s="17" t="n">
        <v>24</v>
      </c>
      <c r="J15" s="17" t="n">
        <v>6</v>
      </c>
      <c r="K15" s="17" t="n">
        <v>14</v>
      </c>
      <c r="L15" s="17" t="n">
        <v>18</v>
      </c>
      <c r="M15" s="17" t="n">
        <v>12</v>
      </c>
      <c r="N15" s="17" t="n">
        <v>22</v>
      </c>
      <c r="O15" s="17" t="n">
        <v>10</v>
      </c>
      <c r="P15" s="17" t="inlineStr">
        <is>
          <t>Represents named.nmd_karkadann as a reachable/fightable stand-in for ch_p_karkadann's capstone encounter, same pattern as the other three Named this session. No stat block exists anywhere for the Named, so every number here is an invented placeholder. Unlike ea_shadhavar (mag-skewed) or ea_simurgh (mag/res-skewed healer profile), this one is str/def-heavy -- named.nmd_karkadann's own notes call it 'the plain one on purpose... straightforwardly good', a physical guardian rather than a mystic, and its signature_mechanic ('strong against mounted units; devastating charge that leaves it stuck one turn') reads as a heavy melee brawler. movement_type='riding' is a direct read (Karkadann is traditionally a horned charging beast, and its own mechanic explicitly involves a charge), the most confident of the four movement_type calls made for the Named so far. weapon_art='brawl' for the same reason -- it fights with its own body, not a weapon. The charge/anti-mounted bonus itself is NOT implemented.</t>
        </is>
      </c>
      <c r="Q15" s="17" t="inlineStr">
        <is>
          <t>map_p_karkadann</t>
        </is>
      </c>
      <c r="V15" s="17" t="inlineStr">
        <is>
          <t>nmd_karkadann</t>
        </is>
      </c>
      <c r="W15" s="17" t="inlineStr">
        <is>
          <t>named</t>
        </is>
      </c>
    </row>
    <row r="16">
      <c r="A16" s="17" t="inlineStr">
        <is>
          <t>ea_anzu</t>
        </is>
      </c>
      <c r="B16" s="17" t="inlineStr">
        <is>
          <t>The Anzu</t>
        </is>
      </c>
      <c r="C16" s="17" t="inlineStr">
        <is>
          <t>bow</t>
        </is>
      </c>
      <c r="D16" s="17" t="inlineStr">
        <is>
          <t>high</t>
        </is>
      </c>
      <c r="E16" s="17" t="inlineStr">
        <is>
          <t>flying</t>
        </is>
      </c>
      <c r="F16" s="17" t="inlineStr">
        <is>
          <t>paragon</t>
        </is>
      </c>
      <c r="G16" s="17" t="n">
        <v>33</v>
      </c>
      <c r="H16" s="17" t="n">
        <v>70</v>
      </c>
      <c r="I16" s="17" t="n">
        <v>12</v>
      </c>
      <c r="J16" s="17" t="n">
        <v>22</v>
      </c>
      <c r="K16" s="17" t="n">
        <v>22</v>
      </c>
      <c r="L16" s="17" t="n">
        <v>20</v>
      </c>
      <c r="M16" s="17" t="n">
        <v>14</v>
      </c>
      <c r="N16" s="17" t="n">
        <v>14</v>
      </c>
      <c r="O16" s="17" t="n">
        <v>20</v>
      </c>
      <c r="P16" s="17" t="inlineStr">
        <is>
          <t>Represents named.nmd_anzu as a reachable/fightable stand-in for ch_p_anzu's capstone encounter, same pattern as the other four Named this session. No stat block exists anywhere for the Named, so every number here is an invented placeholder. Skewed toward mag/dex/res over str -- named.nmd_anzu's whole identity is intellectual ('contracts with whoever can READ the register', 'hidden-literacy thread'), not physical, distinct from ea_karkadann's brawler profile. weapon_art='bow' is the most literally grounded of the five Named calls -- its own signature_mechanic explicitly says 'arrows come apart'. movement_type='flying' reads off the Anzu's traditional lion-eagle register and the region's own 'single figure legible at distance' texture (something seen from far off across an open flat). The weapon-degrading touch itself is NOT implemented -- this row only lets the encounter exist as a normal fight.</t>
        </is>
      </c>
      <c r="Q16" s="17" t="inlineStr">
        <is>
          <t>map_p_anzu</t>
        </is>
      </c>
      <c r="V16" s="17" t="inlineStr">
        <is>
          <t>nmd_anzu</t>
        </is>
      </c>
      <c r="W16" s="17" t="inlineStr">
        <is>
          <t>named</t>
        </is>
      </c>
    </row>
    <row r="17">
      <c r="A17" s="17" t="inlineStr">
        <is>
          <t>ea_billman</t>
        </is>
      </c>
      <c r="B17" s="17" t="inlineStr">
        <is>
          <t>Billman</t>
        </is>
      </c>
      <c r="C17" s="17" t="inlineStr">
        <is>
          <t>axe</t>
        </is>
      </c>
      <c r="D17" s="17" t="inlineStr">
        <is>
          <t>mid</t>
        </is>
      </c>
      <c r="E17" s="17" t="inlineStr">
        <is>
          <t>infantry</t>
        </is>
      </c>
      <c r="F17" s="17" t="inlineStr">
        <is>
          <t>order</t>
        </is>
      </c>
      <c r="G17" s="17" t="n">
        <v>10</v>
      </c>
      <c r="H17" s="17" t="n">
        <v>32</v>
      </c>
      <c r="I17" s="17" t="n">
        <v>9</v>
      </c>
      <c r="J17" s="17" t="n">
        <v>0</v>
      </c>
      <c r="K17" s="17" t="n">
        <v>9</v>
      </c>
      <c r="L17" s="17" t="n">
        <v>8</v>
      </c>
      <c r="M17" s="17" t="n">
        <v>4</v>
      </c>
      <c r="N17" s="17" t="n">
        <v>8</v>
      </c>
      <c r="O17" s="17" t="n">
        <v>3</v>
      </c>
      <c r="P17" s="17" t="inlineStr">
        <is>
          <t>Halberd-bearing line infantry (drafted 2026-10-02, the first overlap-weapon user). Hits mounted units twice as hard and is slow with it; triangle-neutral, so sword/axe/lance units get no edge or penalty against it. Pairs with cls_billman. Placed on the two Act 2 maps where Dietmar and Torvald ride in as the player's only cavalry.</t>
        </is>
      </c>
      <c r="Q17" s="17" t="inlineStr">
        <is>
          <t>map_tp19</t>
        </is>
      </c>
      <c r="R17" s="17" t="inlineStr">
        <is>
          <t>wpn_halberd</t>
        </is>
      </c>
      <c r="W17" s="17" t="inlineStr">
        <is>
          <t>state</t>
        </is>
      </c>
      <c r="X17" s="17" t="inlineStr">
        <is>
          <t>halberd</t>
        </is>
      </c>
    </row>
    <row r="18">
      <c r="A18" s="17" t="inlineStr">
        <is>
          <t>NOTE -- draft enemy archetypes, review before treating as canon. These are the only enemy TYPES actually named anywhere in canon.xlsx (scattered across maps.design_note for d02/a01/a02/a03, plus f00's own garrison) -- this tab just gives them mechanical stats, it does not invent new enemy types. Stats reuse unit_base_stats' exact tier baselines (commoner/trained) rather than new numbers, so a generic enemy naturally reads as somewhat weaker than an average player unit of the same tier -- player units get baseline + a growth_profile-derived bonus, these get baseline alone, with no growth_profile to add from since they're static mooks, not growing units. ea_garrison is the one deliberate exception: knocked further below even the commoner floor because 'fatigued and not a threat' is explicit design language, not just tier-average. weapon_art is stored directly (not derived via a base_class_id lookup) since 'commoner' tier classes have no art_primary in the classes tab -- same reason prologue_roster carries movement_type directly instead of relying solely on a class link. No per-chapter difficulty scaling exists yet (these are flat reference stats at each archetype's tier baseline level, not tuned per-map); that's a separate system for whenever real encounters get built. Drafted by a Claude Code session, 2026-09-16. ADDENDUM: ea_privateer added for map_d05, the only other place canon.xlsx names a distinct enemy identity (weapon_art/movement_type are invented -- 'boards' implies melee, nothing pins down which art or foot-vs-other -- everything else reuses the trained-tier baseline like ea_relic_hunter). map_b15's 'green levies' are the same call already made for map_a02 in ea_conscript_levy's own note above -- not a new archetype. map_d01/d03/x11 name no enemy identity at all in their design_note text, so nothing to ground a new row in there yet. Drafted by a Claude Code session, 2026-09-16. ADDENDUM 2: ea_conquered_soldier, ea_hardened_veteran, ea_war_captain, and ea_warlord added per a direct request for a prologue-soldier archetype plus generic sidequest/miniboss/boss power-tier templates. These break from the rest of this tab in two ways, both explained on each row's own behavior text: (1) they're the first rows using the new weapon_tier column (worn/mid/high instead of every prior row's implicit basic) and (2) three of the four (hardened_veteran/war_captain/warlord) have no first_seen_map_id -- they're reusable templates, not tied to any written encounter, unlike every other row in this tab so far. Drafted by a Claude Code session, 2026-09-16. ADDENDUM 3: ea_preacher_boyan (map_a02) and ea_relic_hunter_captain (map_a03) added -- the first named-individual reskins of the generic sidequest/miniboss templates, tied to a specific map the way the original 5 rows are (unlike ADDENDUM 2's three unassigned templates). Both rows' own behavior text spells out exactly what's grounded (the map/chapter design_notes, recruit rosters, force-deploys) versus invented (names, exact stat tuning, and one speculative narrative thread on the a03 row explicitly flagged as unconfirmed). Drafted by a Claude Code session, 2026-09-16. ADDENDUM (2026-10-02): added weapon_id (optional: blank means wpn_&lt;weapon_art&gt;_&lt;weapon_tier&gt;; set it for overlap weapons whose id doesn't follow that pattern) and ea_billman, the first archetype with an overlap weapon. ADDENDUM (2026-10-13): flees_below_pct = the HP percent below which a non-boss of this type routs (blank = never; the conscript levy, per map_d02's own note). talk_mod = how receptive it is to being talked down (blank = cannot be talked to; added to the speaker's chance), talk_line = what it says when it yields. Both are first-pass guesses. ADDENDUM (2026-10-17): named_id marks the four fightable Named stand-ins. Unlike other bosses a Named can be captured (harvested) as well as killed.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cols>
    <col width="16" customWidth="1" style="18" min="11" max="11"/>
  </cols>
  <sheetData>
    <row r="1">
      <c r="A1" s="26" t="inlineStr">
        <is>
          <t>spawn_id</t>
        </is>
      </c>
      <c r="B1" s="26" t="inlineStr">
        <is>
          <t>map_id</t>
        </is>
      </c>
      <c r="C1" s="26" t="inlineStr">
        <is>
          <t>kind</t>
        </is>
      </c>
      <c r="D1" s="26" t="inlineStr">
        <is>
          <t>enemy_id</t>
        </is>
      </c>
      <c r="E1" s="26" t="inlineStr">
        <is>
          <t>row</t>
        </is>
      </c>
      <c r="F1" s="26" t="inlineStr">
        <is>
          <t>col</t>
        </is>
      </c>
      <c r="G1" s="26" t="inlineStr">
        <is>
          <t>spawn_interval</t>
        </is>
      </c>
      <c r="H1" s="26" t="inlineStr">
        <is>
          <t>max_waves</t>
        </is>
      </c>
      <c r="I1" s="26" t="inlineStr">
        <is>
          <t>wave_size</t>
        </is>
      </c>
      <c r="J1" s="26" t="inlineStr">
        <is>
          <t>notes</t>
        </is>
      </c>
      <c r="K1" s="26" t="inlineStr">
        <is>
          <t>drop_weapon_id</t>
        </is>
      </c>
    </row>
    <row r="2">
      <c r="A2" s="17" t="inlineStr">
        <is>
          <t>spn_a02_boyan</t>
        </is>
      </c>
      <c r="B2" s="17" t="inlineStr">
        <is>
          <t>map_a02</t>
        </is>
      </c>
      <c r="C2" s="17" t="inlineStr">
        <is>
          <t>boss</t>
        </is>
      </c>
      <c r="D2" s="17" t="inlineStr">
        <is>
          <t>ea_preacher_boyan</t>
        </is>
      </c>
      <c r="E2" s="17" t="n">
        <v>8</v>
      </c>
      <c r="F2" s="17" t="n">
        <v>8</v>
      </c>
      <c r="G2" s="17" t="n"/>
      <c r="H2" s="17" t="n"/>
      <c r="I2" s="17" t="n">
        <v>1</v>
      </c>
      <c r="J2" s="17" t="inlineStr">
        <is>
          <t>Stands on the defend-point tile (D) -- literally where the crowd/townsfolk are.</t>
        </is>
      </c>
    </row>
    <row r="3">
      <c r="A3" s="17" t="inlineStr">
        <is>
          <t>spn_a02_mook1</t>
        </is>
      </c>
      <c r="B3" s="17" t="inlineStr">
        <is>
          <t>map_a02</t>
        </is>
      </c>
      <c r="C3" s="17" t="inlineStr">
        <is>
          <t>mook</t>
        </is>
      </c>
      <c r="D3" s="17" t="inlineStr">
        <is>
          <t>ea_conscript_levy</t>
        </is>
      </c>
      <c r="E3" s="17" t="n">
        <v>7</v>
      </c>
      <c r="F3" s="17" t="n">
        <v>4</v>
      </c>
      <c r="G3" s="17" t="n"/>
      <c r="H3" s="17" t="n"/>
      <c r="I3" s="17" t="n">
        <v>1</v>
      </c>
      <c r="J3" s="17" t="inlineStr">
        <is>
          <t>Pre-placed on the narrow street, west side.</t>
        </is>
      </c>
    </row>
    <row r="4">
      <c r="A4" s="17" t="inlineStr">
        <is>
          <t>spn_a02_mook2</t>
        </is>
      </c>
      <c r="B4" s="17" t="inlineStr">
        <is>
          <t>map_a02</t>
        </is>
      </c>
      <c r="C4" s="17" t="inlineStr">
        <is>
          <t>mook</t>
        </is>
      </c>
      <c r="D4" s="17" t="inlineStr">
        <is>
          <t>ea_conscript_levy</t>
        </is>
      </c>
      <c r="E4" s="17" t="n">
        <v>7</v>
      </c>
      <c r="F4" s="17" t="n">
        <v>13</v>
      </c>
      <c r="G4" s="17" t="n"/>
      <c r="H4" s="17" t="n"/>
      <c r="I4" s="17" t="n">
        <v>1</v>
      </c>
      <c r="J4" s="17" t="inlineStr">
        <is>
          <t>Pre-placed on the narrow street, east side.</t>
        </is>
      </c>
    </row>
    <row r="5">
      <c r="A5" s="17" t="inlineStr">
        <is>
          <t>spn_a02_den</t>
        </is>
      </c>
      <c r="B5" s="17" t="inlineStr">
        <is>
          <t>map_a02</t>
        </is>
      </c>
      <c r="C5" s="17" t="inlineStr">
        <is>
          <t>den</t>
        </is>
      </c>
      <c r="D5" s="17" t="inlineStr">
        <is>
          <t>ea_conscript_levy</t>
        </is>
      </c>
      <c r="E5" s="17" t="n">
        <v>4</v>
      </c>
      <c r="F5" s="17" t="n">
        <v>16</v>
      </c>
      <c r="G5" s="17" t="n">
        <v>2</v>
      </c>
      <c r="H5" s="17" t="n">
        <v>4</v>
      </c>
      <c r="I5" s="17" t="n">
        <v>1</v>
      </c>
      <c r="J5" s="17" t="inlineStr">
        <is>
          <t>Wide-street edge. Interval/cap (every 2 turns, 4 waves max) are invented -- map_a02's own design_note doesn't state a cadence the way map_a03's does; chosen to fit turn_limit=8 without becoming unwinnable attrition.</t>
        </is>
      </c>
    </row>
    <row r="6">
      <c r="A6" s="17" t="inlineStr">
        <is>
          <t>spn_a03_boss</t>
        </is>
      </c>
      <c r="B6" s="17" t="inlineStr">
        <is>
          <t>map_a03</t>
        </is>
      </c>
      <c r="C6" s="17" t="inlineStr">
        <is>
          <t>boss</t>
        </is>
      </c>
      <c r="D6" s="17" t="inlineStr">
        <is>
          <t>ea_relic_hunter_captain</t>
        </is>
      </c>
      <c r="E6" s="17" t="n">
        <v>4</v>
      </c>
      <c r="F6" s="17" t="n">
        <v>8</v>
      </c>
      <c r="G6" s="17" t="n"/>
      <c r="H6" s="17" t="n"/>
      <c r="I6" s="17" t="n">
        <v>1</v>
      </c>
      <c r="J6" s="17" t="inlineStr">
        <is>
          <t>Guards the reliquary from one tile north.</t>
        </is>
      </c>
      <c r="K6" s="17" t="inlineStr">
        <is>
          <t>wpn_bow_mid</t>
        </is>
      </c>
    </row>
    <row r="7">
      <c r="A7" s="17" t="inlineStr">
        <is>
          <t>spn_a03_mook1</t>
        </is>
      </c>
      <c r="B7" s="17" t="inlineStr">
        <is>
          <t>map_a03</t>
        </is>
      </c>
      <c r="C7" s="17" t="inlineStr">
        <is>
          <t>mook</t>
        </is>
      </c>
      <c r="D7" s="17" t="inlineStr">
        <is>
          <t>ea_relic_hunter</t>
        </is>
      </c>
      <c r="E7" s="17" t="n">
        <v>4</v>
      </c>
      <c r="F7" s="17" t="n">
        <v>6</v>
      </c>
      <c r="G7" s="17" t="n"/>
      <c r="H7" s="17" t="n"/>
      <c r="I7" s="17" t="n">
        <v>1</v>
      </c>
      <c r="J7" s="17" t="inlineStr">
        <is>
          <t>Pre-placed near the reliquary, west side.</t>
        </is>
      </c>
    </row>
    <row r="8">
      <c r="A8" s="17" t="inlineStr">
        <is>
          <t>spn_a03_mook2</t>
        </is>
      </c>
      <c r="B8" s="17" t="inlineStr">
        <is>
          <t>map_a03</t>
        </is>
      </c>
      <c r="C8" s="17" t="inlineStr">
        <is>
          <t>mook</t>
        </is>
      </c>
      <c r="D8" s="17" t="inlineStr">
        <is>
          <t>ea_relic_hunter</t>
        </is>
      </c>
      <c r="E8" s="17" t="n">
        <v>7</v>
      </c>
      <c r="F8" s="17" t="n">
        <v>10</v>
      </c>
      <c r="G8" s="17" t="n"/>
      <c r="H8" s="17" t="n"/>
      <c r="I8" s="17" t="n">
        <v>1</v>
      </c>
      <c r="J8" s="17" t="inlineStr">
        <is>
          <t>Pre-placed further into the open ward, south-east.</t>
        </is>
      </c>
    </row>
    <row r="9">
      <c r="A9" s="17" t="inlineStr">
        <is>
          <t>spn_a03_den</t>
        </is>
      </c>
      <c r="B9" s="17" t="inlineStr">
        <is>
          <t>map_a03</t>
        </is>
      </c>
      <c r="C9" s="17" t="inlineStr">
        <is>
          <t>den</t>
        </is>
      </c>
      <c r="D9" s="17" t="inlineStr">
        <is>
          <t>ea_relic_hunter</t>
        </is>
      </c>
      <c r="E9" s="17" t="n">
        <v>6</v>
      </c>
      <c r="F9" s="17" t="n">
        <v>7</v>
      </c>
      <c r="G9" s="17" t="n">
        <v>3</v>
      </c>
      <c r="H9" s="17" t="n"/>
      <c r="I9" s="17" t="n">
        <v>1</v>
      </c>
      <c r="J9" s="17" t="inlineStr">
        <is>
          <t>Adjacent to the reliquary. Interval/wave size taken directly from map_a03's own design_note: 'reinforces every 3 turns forever' -- max_waves is null (unlimited), the one den where that's literal text, not an invented cap.</t>
        </is>
      </c>
    </row>
    <row r="10">
      <c r="A10" s="17" t="inlineStr">
        <is>
          <t>spn_f00_garrison</t>
        </is>
      </c>
      <c r="B10" s="17" t="inlineStr">
        <is>
          <t>map_f00</t>
        </is>
      </c>
      <c r="C10" s="17" t="inlineStr">
        <is>
          <t>boss</t>
        </is>
      </c>
      <c r="D10" s="17" t="inlineStr">
        <is>
          <t>ea_garrison</t>
        </is>
      </c>
      <c r="E10" s="17" t="n">
        <v>11</v>
      </c>
      <c r="F10" s="17" t="n">
        <v>9</v>
      </c>
      <c r="G10" s="17" t="n"/>
      <c r="H10" s="17" t="n"/>
      <c r="I10" s="17" t="n">
        <v>1</v>
      </c>
      <c r="J10" s="17" t="inlineStr">
        <is>
          <t>Migrated from map_grid.gd's old hardcoded ENEMY_SPAWN_POS=Vector2i(9,11) (x=col, y=row) -- same tile, now data-driven like every other map's spawns, instead of a second parallel enemy-spawn code path.</t>
        </is>
      </c>
    </row>
    <row r="11">
      <c r="A11" s="17" t="inlineStr">
        <is>
          <t>spn_d01_mook1</t>
        </is>
      </c>
      <c r="B11" s="17" t="inlineStr">
        <is>
          <t>map_d01</t>
        </is>
      </c>
      <c r="C11" s="17" t="inlineStr">
        <is>
          <t>mook</t>
        </is>
      </c>
      <c r="D11" s="17" t="inlineStr">
        <is>
          <t>ea_looter</t>
        </is>
      </c>
      <c r="E11" s="17" t="n">
        <v>1</v>
      </c>
      <c r="F11" s="17" t="n">
        <v>10</v>
      </c>
      <c r="G11" s="17" t="n"/>
      <c r="H11" s="17" t="n"/>
      <c r="I11" s="17" t="n">
        <v>1</v>
      </c>
      <c r="J11" s="17" t="inlineStr">
        <is>
          <t>No named enemy identity in map_d01's design_note -- reusing an existing grounded archetype rather than inventing one. Docks-at-night opportunists fit ea_looter's own flavor.</t>
        </is>
      </c>
    </row>
    <row r="12">
      <c r="A12" s="17" t="inlineStr">
        <is>
          <t>spn_d01_mook2</t>
        </is>
      </c>
      <c r="B12" s="17" t="inlineStr">
        <is>
          <t>map_d01</t>
        </is>
      </c>
      <c r="C12" s="17" t="inlineStr">
        <is>
          <t>mook</t>
        </is>
      </c>
      <c r="D12" s="17" t="inlineStr">
        <is>
          <t>ea_looter</t>
        </is>
      </c>
      <c r="E12" s="17" t="n">
        <v>7</v>
      </c>
      <c r="F12" s="17" t="n">
        <v>3</v>
      </c>
      <c r="G12" s="17" t="n"/>
      <c r="H12" s="17" t="n"/>
      <c r="I12" s="17" t="n">
        <v>1</v>
      </c>
      <c r="J12" s="17" t="inlineStr">
        <is>
          <t>See spn_d01_mook1.</t>
        </is>
      </c>
    </row>
    <row r="13">
      <c r="A13" s="17" t="inlineStr">
        <is>
          <t>spn_d03_den</t>
        </is>
      </c>
      <c r="B13" s="17" t="inlineStr">
        <is>
          <t>map_d03</t>
        </is>
      </c>
      <c r="C13" s="17" t="inlineStr">
        <is>
          <t>den</t>
        </is>
      </c>
      <c r="D13" s="17" t="inlineStr">
        <is>
          <t>ea_looter</t>
        </is>
      </c>
      <c r="E13" s="17" t="n">
        <v>1</v>
      </c>
      <c r="F13" s="17" t="n">
        <v>18</v>
      </c>
      <c r="G13" s="17" t="n">
        <v>8</v>
      </c>
      <c r="H13" s="17" t="n">
        <v>1</v>
      </c>
      <c r="I13" s="17" t="n">
        <v>1</v>
      </c>
      <c r="J13" s="17" t="inlineStr">
        <is>
          <t>'turn 8 NE reinforcements' (map_d03's own design_note) -- a single wave (max_waves=1), not a recurring cadence, matching the note's singular framing. ea_looter reused for the same reason as d01 -- wagon/cargo threat, no named identity.</t>
        </is>
      </c>
    </row>
    <row r="14">
      <c r="A14" s="17" t="inlineStr">
        <is>
          <t>spn_d03_mook1</t>
        </is>
      </c>
      <c r="B14" s="17" t="inlineStr">
        <is>
          <t>map_d03</t>
        </is>
      </c>
      <c r="C14" s="17" t="inlineStr">
        <is>
          <t>mook</t>
        </is>
      </c>
      <c r="D14" s="17" t="inlineStr">
        <is>
          <t>ea_conscript_levy</t>
        </is>
      </c>
      <c r="E14" s="17" t="n">
        <v>9</v>
      </c>
      <c r="F14" s="17" t="n">
        <v>8</v>
      </c>
      <c r="G14" s="17" t="n"/>
      <c r="H14" s="17" t="n"/>
      <c r="I14" s="17" t="n">
        <v>1</v>
      </c>
      <c r="J14" s="17" t="inlineStr">
        <is>
          <t>No named identity; generic escort-threat mook.</t>
        </is>
      </c>
    </row>
    <row r="15">
      <c r="A15" s="17" t="inlineStr">
        <is>
          <t>spn_d03_mook2</t>
        </is>
      </c>
      <c r="B15" s="17" t="inlineStr">
        <is>
          <t>map_d03</t>
        </is>
      </c>
      <c r="C15" s="17" t="inlineStr">
        <is>
          <t>mook</t>
        </is>
      </c>
      <c r="D15" s="17" t="inlineStr">
        <is>
          <t>ea_conscript_levy</t>
        </is>
      </c>
      <c r="E15" s="17" t="n">
        <v>9</v>
      </c>
      <c r="F15" s="17" t="n">
        <v>12</v>
      </c>
      <c r="G15" s="17" t="n"/>
      <c r="H15" s="17" t="n"/>
      <c r="I15" s="17" t="n">
        <v>1</v>
      </c>
      <c r="J15" s="17" t="inlineStr">
        <is>
          <t>See spn_d03_mook1.</t>
        </is>
      </c>
    </row>
    <row r="16">
      <c r="A16" s="17" t="inlineStr">
        <is>
          <t>spn_x11_captain_west</t>
        </is>
      </c>
      <c r="B16" s="17" t="inlineStr">
        <is>
          <t>map_x11</t>
        </is>
      </c>
      <c r="C16" s="17" t="inlineStr">
        <is>
          <t>boss</t>
        </is>
      </c>
      <c r="D16" s="17" t="inlineStr">
        <is>
          <t>ea_war_captain</t>
        </is>
      </c>
      <c r="E16" s="17" t="n">
        <v>6</v>
      </c>
      <c r="F16" s="17" t="n">
        <v>4</v>
      </c>
      <c r="G16" s="17" t="n"/>
      <c r="H16" s="17" t="n"/>
      <c r="I16" s="17" t="n">
        <v>1</v>
      </c>
      <c r="J16" s="17" t="inlineStr">
        <is>
          <t>Reuses the generic miniboss template (not a new named character -- no identity is named in map_x11's design_note) at the west crossing, matching 'two simultaneous timed objectives at opposite edges.'</t>
        </is>
      </c>
      <c r="K16" s="17" t="inlineStr">
        <is>
          <t>wpn_lance_high</t>
        </is>
      </c>
    </row>
    <row r="17">
      <c r="A17" s="17" t="inlineStr">
        <is>
          <t>spn_x11_captain_east</t>
        </is>
      </c>
      <c r="B17" s="17" t="inlineStr">
        <is>
          <t>map_x11</t>
        </is>
      </c>
      <c r="C17" s="17" t="inlineStr">
        <is>
          <t>boss</t>
        </is>
      </c>
      <c r="D17" s="17" t="inlineStr">
        <is>
          <t>ea_war_captain</t>
        </is>
      </c>
      <c r="E17" s="17" t="n">
        <v>6</v>
      </c>
      <c r="F17" s="17" t="n">
        <v>19</v>
      </c>
      <c r="G17" s="17" t="n"/>
      <c r="H17" s="17" t="n"/>
      <c r="I17" s="17" t="n">
        <v>1</v>
      </c>
      <c r="J17" s="17" t="inlineStr">
        <is>
          <t>Same template, east crossing. Two instances of the same archetype, not two distinct characters -- consistent with nothing being named in the source text.</t>
        </is>
      </c>
    </row>
    <row r="18">
      <c r="A18" s="17" t="inlineStr">
        <is>
          <t>spn_x11_mook1</t>
        </is>
      </c>
      <c r="B18" s="17" t="inlineStr">
        <is>
          <t>map_x11</t>
        </is>
      </c>
      <c r="C18" s="17" t="inlineStr">
        <is>
          <t>mook</t>
        </is>
      </c>
      <c r="D18" s="17" t="inlineStr">
        <is>
          <t>ea_privateer</t>
        </is>
      </c>
      <c r="E18" s="17" t="n">
        <v>10</v>
      </c>
      <c r="F18" s="17" t="n">
        <v>6</v>
      </c>
      <c r="G18" s="17" t="n"/>
      <c r="H18" s="17" t="n"/>
      <c r="I18" s="17" t="n">
        <v>1</v>
      </c>
      <c r="J18" s="17" t="inlineStr">
        <is>
          <t>Act 2 escalation over Act 1's commoner-tier mooks -- ea_privateer (trained tier) reused.</t>
        </is>
      </c>
    </row>
    <row r="19">
      <c r="A19" s="17" t="inlineStr">
        <is>
          <t>spn_x11_mook2</t>
        </is>
      </c>
      <c r="B19" s="17" t="inlineStr">
        <is>
          <t>map_x11</t>
        </is>
      </c>
      <c r="C19" s="17" t="inlineStr">
        <is>
          <t>mook</t>
        </is>
      </c>
      <c r="D19" s="17" t="inlineStr">
        <is>
          <t>ea_privateer</t>
        </is>
      </c>
      <c r="E19" s="17" t="n">
        <v>10</v>
      </c>
      <c r="F19" s="17" t="n">
        <v>18</v>
      </c>
      <c r="G19" s="17" t="n"/>
      <c r="H19" s="17" t="n"/>
      <c r="I19" s="17" t="n">
        <v>1</v>
      </c>
      <c r="J19" s="17" t="inlineStr">
        <is>
          <t>See spn_x11_mook1.</t>
        </is>
      </c>
    </row>
    <row r="20">
      <c r="A20" s="17" t="inlineStr">
        <is>
          <t>spn_x11_den</t>
        </is>
      </c>
      <c r="B20" s="17" t="inlineStr">
        <is>
          <t>map_x11</t>
        </is>
      </c>
      <c r="C20" s="17" t="inlineStr">
        <is>
          <t>den</t>
        </is>
      </c>
      <c r="D20" s="17" t="inlineStr">
        <is>
          <t>ea_privateer</t>
        </is>
      </c>
      <c r="E20" s="17" t="n">
        <v>12</v>
      </c>
      <c r="F20" s="17" t="n">
        <v>12</v>
      </c>
      <c r="G20" s="17" t="n">
        <v>3</v>
      </c>
      <c r="H20" s="17" t="n">
        <v>3</v>
      </c>
      <c r="I20" s="17" t="n">
        <v>1</v>
      </c>
      <c r="J20" s="17" t="inlineStr">
        <is>
          <t>Interval/cap invented (map_x11's design_note gives no cadence, only reinforcement_source=den) -- 3 turns/3 waves chosen to fit turn_limit=9 without becoming unwinnable attrition, same reasoning as spn_a02_den.</t>
        </is>
      </c>
    </row>
    <row r="21">
      <c r="A21" s="17" t="inlineStr">
        <is>
          <t>spn_b15_mook1</t>
        </is>
      </c>
      <c r="B21" s="17" t="inlineStr">
        <is>
          <t>map_b15</t>
        </is>
      </c>
      <c r="C21" s="17" t="inlineStr">
        <is>
          <t>mook</t>
        </is>
      </c>
      <c r="D21" s="17" t="inlineStr">
        <is>
          <t>ea_conscript_levy</t>
        </is>
      </c>
      <c r="E21" s="17" t="n">
        <v>3</v>
      </c>
      <c r="F21" s="17" t="n">
        <v>5</v>
      </c>
      <c r="G21" s="17" t="n"/>
      <c r="H21" s="17" t="n"/>
      <c r="I21" s="17" t="n">
        <v>1</v>
      </c>
      <c r="J21" s="17" t="inlineStr">
        <is>
          <t>'preachers convert green levies' (map_b15's own design_note) -- green levies ARE ea_conscript_levy, per that archetype's own note. The preacher itself still isn't modeled as combat (same call made for map_a02).</t>
        </is>
      </c>
    </row>
    <row r="22">
      <c r="A22" s="17" t="inlineStr">
        <is>
          <t>spn_b15_mook2</t>
        </is>
      </c>
      <c r="B22" s="17" t="inlineStr">
        <is>
          <t>map_b15</t>
        </is>
      </c>
      <c r="C22" s="17" t="inlineStr">
        <is>
          <t>mook</t>
        </is>
      </c>
      <c r="D22" s="17" t="inlineStr">
        <is>
          <t>ea_conscript_levy</t>
        </is>
      </c>
      <c r="E22" s="17" t="n">
        <v>10</v>
      </c>
      <c r="F22" s="17" t="n">
        <v>13</v>
      </c>
      <c r="G22" s="17" t="n"/>
      <c r="H22" s="17" t="n"/>
      <c r="I22" s="17" t="n">
        <v>1</v>
      </c>
      <c r="J22" s="17" t="inlineStr">
        <is>
          <t>See spn_b15_mook1.</t>
        </is>
      </c>
    </row>
    <row r="23">
      <c r="A23" s="17" t="inlineStr">
        <is>
          <t>spn_d02_den</t>
        </is>
      </c>
      <c r="B23" s="17" t="inlineStr">
        <is>
          <t>map_d02</t>
        </is>
      </c>
      <c r="C23" s="17" t="inlineStr">
        <is>
          <t>den</t>
        </is>
      </c>
      <c r="D23" s="17" t="inlineStr">
        <is>
          <t>ea_conscript_levy</t>
        </is>
      </c>
      <c r="E23" s="17" t="n">
        <v>5</v>
      </c>
      <c r="F23" s="17" t="n">
        <v>15</v>
      </c>
      <c r="G23" s="17" t="n">
        <v>3</v>
      </c>
      <c r="H23" s="17" t="n">
        <v>3</v>
      </c>
      <c r="I23" s="17" t="n">
        <v>1</v>
      </c>
      <c r="J23" s="17" t="inlineStr">
        <is>
          <t>Interval/cap invented (map_d02's design_note describes flee-below-half-HP behavior, not a reinforcement cadence) -- 3 turns/3 waves, same default used elsewhere for an unstated den. ea_conscript_levy is ITS first_seen_map_id.</t>
        </is>
      </c>
    </row>
    <row r="24">
      <c r="A24" s="17" t="inlineStr">
        <is>
          <t>spn_d02_mook1</t>
        </is>
      </c>
      <c r="B24" s="17" t="inlineStr">
        <is>
          <t>map_d02</t>
        </is>
      </c>
      <c r="C24" s="17" t="inlineStr">
        <is>
          <t>mook</t>
        </is>
      </c>
      <c r="D24" s="17" t="inlineStr">
        <is>
          <t>ea_conscript_levy</t>
        </is>
      </c>
      <c r="E24" s="17" t="n">
        <v>2</v>
      </c>
      <c r="F24" s="17" t="n">
        <v>1</v>
      </c>
      <c r="G24" s="17" t="n"/>
      <c r="H24" s="17" t="n"/>
      <c r="I24" s="17" t="n">
        <v>1</v>
      </c>
      <c r="J24" s="17" t="inlineStr">
        <is>
          <t>See spn_d02_den.</t>
        </is>
      </c>
    </row>
    <row r="25">
      <c r="A25" s="17" t="inlineStr">
        <is>
          <t>spn_d02_mook2</t>
        </is>
      </c>
      <c r="B25" s="17" t="inlineStr">
        <is>
          <t>map_d02</t>
        </is>
      </c>
      <c r="C25" s="17" t="inlineStr">
        <is>
          <t>mook</t>
        </is>
      </c>
      <c r="D25" s="17" t="inlineStr">
        <is>
          <t>ea_conscript_levy</t>
        </is>
      </c>
      <c r="E25" s="17" t="n">
        <v>9</v>
      </c>
      <c r="F25" s="17" t="n">
        <v>14</v>
      </c>
      <c r="G25" s="17" t="n"/>
      <c r="H25" s="17" t="n"/>
      <c r="I25" s="17" t="n">
        <v>1</v>
      </c>
      <c r="J25" s="17" t="inlineStr">
        <is>
          <t>See spn_d02_den.</t>
        </is>
      </c>
    </row>
    <row r="26">
      <c r="A26" s="17" t="inlineStr">
        <is>
          <t>spn_a01_mook1</t>
        </is>
      </c>
      <c r="B26" s="17" t="inlineStr">
        <is>
          <t>map_a01</t>
        </is>
      </c>
      <c r="C26" s="17" t="inlineStr">
        <is>
          <t>mook</t>
        </is>
      </c>
      <c r="D26" s="17" t="inlineStr">
        <is>
          <t>ea_looter</t>
        </is>
      </c>
      <c r="E26" s="17" t="n">
        <v>5</v>
      </c>
      <c r="F26" s="17" t="n">
        <v>2</v>
      </c>
      <c r="G26" s="17" t="n"/>
      <c r="H26" s="17" t="n"/>
      <c r="I26" s="17" t="n">
        <v>1</v>
      </c>
      <c r="J26" s="17" t="inlineStr">
        <is>
          <t>ea_looter's own first_seen_map_id is map_a01 -- 'looters kill them if unshielded' is this map's own design_note. No den (reinforcement_source=none).</t>
        </is>
      </c>
    </row>
    <row r="27">
      <c r="A27" s="17" t="inlineStr">
        <is>
          <t>spn_a01_mook2</t>
        </is>
      </c>
      <c r="B27" s="17" t="inlineStr">
        <is>
          <t>map_a01</t>
        </is>
      </c>
      <c r="C27" s="17" t="inlineStr">
        <is>
          <t>mook</t>
        </is>
      </c>
      <c r="D27" s="17" t="inlineStr">
        <is>
          <t>ea_looter</t>
        </is>
      </c>
      <c r="E27" s="17" t="n">
        <v>5</v>
      </c>
      <c r="F27" s="17" t="n">
        <v>13</v>
      </c>
      <c r="G27" s="17" t="n"/>
      <c r="H27" s="17" t="n"/>
      <c r="I27" s="17" t="n">
        <v>1</v>
      </c>
      <c r="J27" s="17" t="inlineStr">
        <is>
          <t>See spn_a01_mook1.</t>
        </is>
      </c>
    </row>
    <row r="28">
      <c r="A28" s="17" t="inlineStr">
        <is>
          <t>spn_d05_den_port</t>
        </is>
      </c>
      <c r="B28" s="17" t="inlineStr">
        <is>
          <t>map_d05</t>
        </is>
      </c>
      <c r="C28" s="17" t="inlineStr">
        <is>
          <t>den</t>
        </is>
      </c>
      <c r="D28" s="17" t="inlineStr">
        <is>
          <t>ea_privateer</t>
        </is>
      </c>
      <c r="E28" s="17" t="n">
        <v>2</v>
      </c>
      <c r="F28" s="17" t="n">
        <v>1</v>
      </c>
      <c r="G28" s="17" t="n">
        <v>2</v>
      </c>
      <c r="H28" s="17" t="n"/>
      <c r="I28" s="17" t="n">
        <v>1</v>
      </c>
      <c r="J28" s="17" t="inlineStr">
        <is>
          <t>'Privateers board from the map edges... GRAPPLE LINES ARE THE DENS' (map_d05's own design_note) -- port-side den. Interval invented (2 turns), max_waves null (unlimited) since the note frames this as an ongoing voyage threat, not a one-off; turn_limit=10 caps total spawns naturally.</t>
        </is>
      </c>
    </row>
    <row r="29">
      <c r="A29" s="17" t="inlineStr">
        <is>
          <t>spn_d05_den_starboard</t>
        </is>
      </c>
      <c r="B29" s="17" t="inlineStr">
        <is>
          <t>map_d05</t>
        </is>
      </c>
      <c r="C29" s="17" t="inlineStr">
        <is>
          <t>den</t>
        </is>
      </c>
      <c r="D29" s="17" t="inlineStr">
        <is>
          <t>ea_privateer</t>
        </is>
      </c>
      <c r="E29" s="17" t="n">
        <v>2</v>
      </c>
      <c r="F29" s="17" t="n">
        <v>20</v>
      </c>
      <c r="G29" s="17" t="n">
        <v>2</v>
      </c>
      <c r="H29" s="17" t="n"/>
      <c r="I29" s="17" t="n">
        <v>1</v>
      </c>
      <c r="J29" s="17" t="inlineStr">
        <is>
          <t>Starboard-side den, same grounding as spn_d05_den_port -- 'the map edges' is plural.</t>
        </is>
      </c>
    </row>
    <row r="30">
      <c r="A30" s="17" t="inlineStr">
        <is>
          <t>spn_d05_mook1</t>
        </is>
      </c>
      <c r="B30" s="17" t="inlineStr">
        <is>
          <t>map_d05</t>
        </is>
      </c>
      <c r="C30" s="17" t="inlineStr">
        <is>
          <t>mook</t>
        </is>
      </c>
      <c r="D30" s="17" t="inlineStr">
        <is>
          <t>ea_privateer</t>
        </is>
      </c>
      <c r="E30" s="17" t="n">
        <v>3</v>
      </c>
      <c r="F30" s="17" t="n">
        <v>10</v>
      </c>
      <c r="G30" s="17" t="n"/>
      <c r="H30" s="17" t="n"/>
      <c r="I30" s="17" t="n">
        <v>1</v>
      </c>
      <c r="J30" s="17" t="inlineStr">
        <is>
          <t>Already-boarded privateers, same archetype as the dens produce.</t>
        </is>
      </c>
    </row>
    <row r="31">
      <c r="A31" s="17" t="inlineStr">
        <is>
          <t>spn_d05_mook2</t>
        </is>
      </c>
      <c r="B31" s="17" t="inlineStr">
        <is>
          <t>map_d05</t>
        </is>
      </c>
      <c r="C31" s="17" t="inlineStr">
        <is>
          <t>mook</t>
        </is>
      </c>
      <c r="D31" s="17" t="inlineStr">
        <is>
          <t>ea_privateer</t>
        </is>
      </c>
      <c r="E31" s="17" t="n">
        <v>8</v>
      </c>
      <c r="F31" s="17" t="n">
        <v>17</v>
      </c>
      <c r="G31" s="17" t="n"/>
      <c r="H31" s="17" t="n"/>
      <c r="I31" s="17" t="n">
        <v>1</v>
      </c>
      <c r="J31" s="17" t="inlineStr">
        <is>
          <t>See spn_d05_mook1.</t>
        </is>
      </c>
    </row>
    <row r="32">
      <c r="A32" s="17" t="inlineStr">
        <is>
          <t>spn_v21_den</t>
        </is>
      </c>
      <c r="B32" s="17" t="inlineStr">
        <is>
          <t>map_v21</t>
        </is>
      </c>
      <c r="C32" s="17" t="inlineStr">
        <is>
          <t>den</t>
        </is>
      </c>
      <c r="D32" s="17" t="inlineStr">
        <is>
          <t>ea_hardened_veteran</t>
        </is>
      </c>
      <c r="E32" s="17" t="n">
        <v>9</v>
      </c>
      <c r="F32" s="17" t="n">
        <v>15</v>
      </c>
      <c r="G32" s="17" t="n">
        <v>3</v>
      </c>
      <c r="H32" s="17" t="n">
        <v>3</v>
      </c>
      <c r="I32" s="17" t="n">
        <v>1</v>
      </c>
      <c r="J32" s="17" t="inlineStr">
        <is>
          <t>No named identity in ch_v21's own notes beyond 'complicit hands' generally -- ea_hardened_veteran (the generic sidequest-tier template) reused as the lord's household guard, an Act2 step up from Act1's commoner mooks.</t>
        </is>
      </c>
    </row>
    <row r="33">
      <c r="A33" s="17" t="inlineStr">
        <is>
          <t>spn_v21_mook1</t>
        </is>
      </c>
      <c r="B33" s="17" t="inlineStr">
        <is>
          <t>map_v21</t>
        </is>
      </c>
      <c r="C33" s="17" t="inlineStr">
        <is>
          <t>mook</t>
        </is>
      </c>
      <c r="D33" s="17" t="inlineStr">
        <is>
          <t>ea_hardened_veteran</t>
        </is>
      </c>
      <c r="E33" s="17" t="n">
        <v>9</v>
      </c>
      <c r="F33" s="17" t="n">
        <v>3</v>
      </c>
      <c r="G33" s="17" t="n"/>
      <c r="H33" s="17" t="n"/>
      <c r="I33" s="17" t="n">
        <v>1</v>
      </c>
      <c r="J33" s="17" t="inlineStr">
        <is>
          <t>See spn_v21_den.</t>
        </is>
      </c>
    </row>
    <row r="34">
      <c r="A34" s="17" t="inlineStr">
        <is>
          <t>spn_v21_mook2</t>
        </is>
      </c>
      <c r="B34" s="17" t="inlineStr">
        <is>
          <t>map_v21</t>
        </is>
      </c>
      <c r="C34" s="17" t="inlineStr">
        <is>
          <t>mook</t>
        </is>
      </c>
      <c r="D34" s="17" t="inlineStr">
        <is>
          <t>ea_hardened_veteran</t>
        </is>
      </c>
      <c r="E34" s="17" t="n">
        <v>1</v>
      </c>
      <c r="F34" s="17" t="n">
        <v>14</v>
      </c>
      <c r="G34" s="17" t="n"/>
      <c r="H34" s="17" t="n"/>
      <c r="I34" s="17" t="n">
        <v>1</v>
      </c>
      <c r="J34" s="17" t="inlineStr">
        <is>
          <t>See spn_v21_den.</t>
        </is>
      </c>
    </row>
    <row r="35">
      <c r="A35" s="17" t="inlineStr">
        <is>
          <t>spn_v22_den</t>
        </is>
      </c>
      <c r="B35" s="17" t="inlineStr">
        <is>
          <t>map_v22</t>
        </is>
      </c>
      <c r="C35" s="17" t="inlineStr">
        <is>
          <t>den</t>
        </is>
      </c>
      <c r="D35" s="17" t="inlineStr">
        <is>
          <t>ea_conscript_levy</t>
        </is>
      </c>
      <c r="E35" s="17" t="n">
        <v>1</v>
      </c>
      <c r="F35" s="17" t="n">
        <v>13</v>
      </c>
      <c r="G35" s="17" t="n">
        <v>3</v>
      </c>
      <c r="H35" s="17" t="n">
        <v>3</v>
      </c>
      <c r="I35" s="17" t="n">
        <v>1</v>
      </c>
      <c r="J35" s="17" t="inlineStr">
        <is>
          <t>No named identity; ea_conscript_levy reused as a mob disrupting the ritual, the same archetype used for crowd-adjacent threats at map_d02/map_b15.</t>
        </is>
      </c>
    </row>
    <row r="36">
      <c r="A36" s="17" t="inlineStr">
        <is>
          <t>spn_v22_mook1</t>
        </is>
      </c>
      <c r="B36" s="17" t="inlineStr">
        <is>
          <t>map_v22</t>
        </is>
      </c>
      <c r="C36" s="17" t="inlineStr">
        <is>
          <t>mook</t>
        </is>
      </c>
      <c r="D36" s="17" t="inlineStr">
        <is>
          <t>ea_conscript_levy</t>
        </is>
      </c>
      <c r="E36" s="17" t="n">
        <v>3</v>
      </c>
      <c r="F36" s="17" t="n">
        <v>4</v>
      </c>
      <c r="G36" s="17" t="n"/>
      <c r="H36" s="17" t="n"/>
      <c r="I36" s="17" t="n">
        <v>1</v>
      </c>
      <c r="J36" s="17" t="inlineStr">
        <is>
          <t>See spn_v22_den.</t>
        </is>
      </c>
    </row>
    <row r="37">
      <c r="A37" s="17" t="inlineStr">
        <is>
          <t>spn_v22_mook2</t>
        </is>
      </c>
      <c r="B37" s="17" t="inlineStr">
        <is>
          <t>map_v22</t>
        </is>
      </c>
      <c r="C37" s="17" t="inlineStr">
        <is>
          <t>mook</t>
        </is>
      </c>
      <c r="D37" s="17" t="inlineStr">
        <is>
          <t>ea_conscript_levy</t>
        </is>
      </c>
      <c r="E37" s="17" t="n">
        <v>9</v>
      </c>
      <c r="F37" s="17" t="n">
        <v>11</v>
      </c>
      <c r="G37" s="17" t="n"/>
      <c r="H37" s="17" t="n"/>
      <c r="I37" s="17" t="n">
        <v>1</v>
      </c>
      <c r="J37" s="17" t="inlineStr">
        <is>
          <t>See spn_v22_den.</t>
        </is>
      </c>
    </row>
    <row r="38">
      <c r="A38" s="17" t="inlineStr">
        <is>
          <t>spn_c21_den</t>
        </is>
      </c>
      <c r="B38" s="17" t="inlineStr">
        <is>
          <t>map_c21</t>
        </is>
      </c>
      <c r="C38" s="17" t="inlineStr">
        <is>
          <t>den</t>
        </is>
      </c>
      <c r="D38" s="17" t="inlineStr">
        <is>
          <t>ea_privateer</t>
        </is>
      </c>
      <c r="E38" s="17" t="n">
        <v>2</v>
      </c>
      <c r="F38" s="17" t="n">
        <v>15</v>
      </c>
      <c r="G38" s="17" t="n">
        <v>3</v>
      </c>
      <c r="H38" s="17" t="n">
        <v>3</v>
      </c>
      <c r="I38" s="17" t="n">
        <v>1</v>
      </c>
      <c r="J38" s="17" t="inlineStr">
        <is>
          <t>sect_court's own notes say 'ambushes at reunion' but name no one -- ea_privateer reused for hired-mercenary ambushers, the same archetype already established as paid muscle at map_d05.</t>
        </is>
      </c>
    </row>
    <row r="39">
      <c r="A39" s="17" t="inlineStr">
        <is>
          <t>spn_c21_mook1</t>
        </is>
      </c>
      <c r="B39" s="17" t="inlineStr">
        <is>
          <t>map_c21</t>
        </is>
      </c>
      <c r="C39" s="17" t="inlineStr">
        <is>
          <t>mook</t>
        </is>
      </c>
      <c r="D39" s="17" t="inlineStr">
        <is>
          <t>ea_privateer</t>
        </is>
      </c>
      <c r="E39" s="17" t="n">
        <v>2</v>
      </c>
      <c r="F39" s="17" t="n">
        <v>2</v>
      </c>
      <c r="G39" s="17" t="n"/>
      <c r="H39" s="17" t="n"/>
      <c r="I39" s="17" t="n">
        <v>1</v>
      </c>
      <c r="J39" s="17" t="inlineStr">
        <is>
          <t>See spn_c21_den.</t>
        </is>
      </c>
    </row>
    <row r="40">
      <c r="A40" s="17" t="inlineStr">
        <is>
          <t>spn_c21_mook2</t>
        </is>
      </c>
      <c r="B40" s="17" t="inlineStr">
        <is>
          <t>map_c21</t>
        </is>
      </c>
      <c r="C40" s="17" t="inlineStr">
        <is>
          <t>mook</t>
        </is>
      </c>
      <c r="D40" s="17" t="inlineStr">
        <is>
          <t>ea_privateer</t>
        </is>
      </c>
      <c r="E40" s="17" t="n">
        <v>9</v>
      </c>
      <c r="F40" s="17" t="n">
        <v>14</v>
      </c>
      <c r="G40" s="17" t="n"/>
      <c r="H40" s="17" t="n"/>
      <c r="I40" s="17" t="n">
        <v>1</v>
      </c>
      <c r="J40" s="17" t="inlineStr">
        <is>
          <t>See spn_c21_den.</t>
        </is>
      </c>
    </row>
    <row r="41">
      <c r="A41" s="17" t="inlineStr">
        <is>
          <t>spn_m21_den</t>
        </is>
      </c>
      <c r="B41" s="17" t="inlineStr">
        <is>
          <t>map_m21</t>
        </is>
      </c>
      <c r="C41" s="17" t="inlineStr">
        <is>
          <t>den</t>
        </is>
      </c>
      <c r="D41" s="17" t="inlineStr">
        <is>
          <t>ea_conscript_levy</t>
        </is>
      </c>
      <c r="E41" s="17" t="n">
        <v>12</v>
      </c>
      <c r="F41" s="17" t="n">
        <v>9</v>
      </c>
      <c r="G41" s="17" t="n">
        <v>3</v>
      </c>
      <c r="H41" s="17" t="n">
        <v>3</v>
      </c>
      <c r="I41" s="17" t="n">
        <v>1</v>
      </c>
      <c r="J41" s="17" t="inlineStr">
        <is>
          <t>sect_march's own notes: 'Prophecy NPCs convert green levies' -- ea_conscript_levy is that archetype, reused directly.</t>
        </is>
      </c>
    </row>
    <row r="42">
      <c r="A42" s="17" t="inlineStr">
        <is>
          <t>spn_m21_mook1</t>
        </is>
      </c>
      <c r="B42" s="17" t="inlineStr">
        <is>
          <t>map_m21</t>
        </is>
      </c>
      <c r="C42" s="17" t="inlineStr">
        <is>
          <t>mook</t>
        </is>
      </c>
      <c r="D42" s="17" t="inlineStr">
        <is>
          <t>ea_conscript_levy</t>
        </is>
      </c>
      <c r="E42" s="17" t="n">
        <v>5</v>
      </c>
      <c r="F42" s="17" t="n">
        <v>9</v>
      </c>
      <c r="G42" s="17" t="n"/>
      <c r="H42" s="17" t="n"/>
      <c r="I42" s="17" t="n">
        <v>1</v>
      </c>
      <c r="J42" s="17" t="inlineStr">
        <is>
          <t>See spn_m21_den.</t>
        </is>
      </c>
    </row>
    <row r="43">
      <c r="A43" s="17" t="inlineStr">
        <is>
          <t>spn_m21_mook2</t>
        </is>
      </c>
      <c r="B43" s="17" t="inlineStr">
        <is>
          <t>map_m21</t>
        </is>
      </c>
      <c r="C43" s="17" t="inlineStr">
        <is>
          <t>mook</t>
        </is>
      </c>
      <c r="D43" s="17" t="inlineStr">
        <is>
          <t>ea_conscript_levy</t>
        </is>
      </c>
      <c r="E43" s="17" t="n">
        <v>9</v>
      </c>
      <c r="F43" s="17" t="n">
        <v>10</v>
      </c>
      <c r="G43" s="17" t="n"/>
      <c r="H43" s="17" t="n"/>
      <c r="I43" s="17" t="n">
        <v>1</v>
      </c>
      <c r="J43" s="17" t="inlineStr">
        <is>
          <t>See spn_m21_den.</t>
        </is>
      </c>
    </row>
    <row r="44">
      <c r="A44" s="17" t="inlineStr">
        <is>
          <t>spn_m22_den</t>
        </is>
      </c>
      <c r="B44" s="17" t="inlineStr">
        <is>
          <t>map_m22</t>
        </is>
      </c>
      <c r="C44" s="17" t="inlineStr">
        <is>
          <t>den</t>
        </is>
      </c>
      <c r="D44" s="17" t="inlineStr">
        <is>
          <t>ea_hardened_veteran</t>
        </is>
      </c>
      <c r="E44" s="17" t="n">
        <v>9</v>
      </c>
      <c r="F44" s="17" t="n">
        <v>13</v>
      </c>
      <c r="G44" s="17" t="n">
        <v>3</v>
      </c>
      <c r="H44" s="17" t="n">
        <v>3</v>
      </c>
      <c r="I44" s="17" t="n">
        <v>1</v>
      </c>
      <c r="J44" s="17" t="inlineStr">
        <is>
          <t>sect_march's notes put 'the prophets and the crown's clerks in the same archive for opposite reasons' -- ea_hardened_veteran reused as the crown's own guards, distinct from the levies at map_m21.</t>
        </is>
      </c>
    </row>
    <row r="45">
      <c r="A45" s="17" t="inlineStr">
        <is>
          <t>spn_m22_mook1</t>
        </is>
      </c>
      <c r="B45" s="17" t="inlineStr">
        <is>
          <t>map_m22</t>
        </is>
      </c>
      <c r="C45" s="17" t="inlineStr">
        <is>
          <t>mook</t>
        </is>
      </c>
      <c r="D45" s="17" t="inlineStr">
        <is>
          <t>ea_hardened_veteran</t>
        </is>
      </c>
      <c r="E45" s="17" t="n">
        <v>2</v>
      </c>
      <c r="F45" s="17" t="n">
        <v>1</v>
      </c>
      <c r="G45" s="17" t="n"/>
      <c r="H45" s="17" t="n"/>
      <c r="I45" s="17" t="n">
        <v>1</v>
      </c>
      <c r="J45" s="17" t="inlineStr">
        <is>
          <t>See spn_m22_den.</t>
        </is>
      </c>
    </row>
    <row r="46">
      <c r="A46" s="17" t="inlineStr">
        <is>
          <t>spn_m22_mook2</t>
        </is>
      </c>
      <c r="B46" s="17" t="inlineStr">
        <is>
          <t>map_m22</t>
        </is>
      </c>
      <c r="C46" s="17" t="inlineStr">
        <is>
          <t>mook</t>
        </is>
      </c>
      <c r="D46" s="17" t="inlineStr">
        <is>
          <t>ea_hardened_veteran</t>
        </is>
      </c>
      <c r="E46" s="17" t="n">
        <v>9</v>
      </c>
      <c r="F46" s="17" t="n">
        <v>1</v>
      </c>
      <c r="G46" s="17" t="n"/>
      <c r="H46" s="17" t="n"/>
      <c r="I46" s="17" t="n">
        <v>1</v>
      </c>
      <c r="J46" s="17" t="inlineStr">
        <is>
          <t>See spn_m22_den.</t>
        </is>
      </c>
    </row>
    <row r="47">
      <c r="A47" s="17" t="inlineStr">
        <is>
          <t>spn_r16_mook1</t>
        </is>
      </c>
      <c r="B47" s="17" t="inlineStr">
        <is>
          <t>map_r16</t>
        </is>
      </c>
      <c r="C47" s="17" t="inlineStr">
        <is>
          <t>mook</t>
        </is>
      </c>
      <c r="D47" s="17" t="inlineStr">
        <is>
          <t>ea_looter</t>
        </is>
      </c>
      <c r="E47" s="17" t="n">
        <v>3</v>
      </c>
      <c r="F47" s="17" t="n">
        <v>5</v>
      </c>
      <c r="G47" s="17" t="n"/>
      <c r="H47" s="17" t="n"/>
      <c r="I47" s="17" t="n">
        <v>1</v>
      </c>
      <c r="J47" s="17" t="inlineStr">
        <is>
          <t>No named identity; reinforcement_source=none on this map itself, so mooks only, no den -- ea_looter reused for opportunists working the toll road.</t>
        </is>
      </c>
    </row>
    <row r="48">
      <c r="A48" s="17" t="inlineStr">
        <is>
          <t>spn_r16_mook2</t>
        </is>
      </c>
      <c r="B48" s="17" t="inlineStr">
        <is>
          <t>map_r16</t>
        </is>
      </c>
      <c r="C48" s="17" t="inlineStr">
        <is>
          <t>mook</t>
        </is>
      </c>
      <c r="D48" s="17" t="inlineStr">
        <is>
          <t>ea_looter</t>
        </is>
      </c>
      <c r="E48" s="17" t="n">
        <v>10</v>
      </c>
      <c r="F48" s="17" t="n">
        <v>15</v>
      </c>
      <c r="G48" s="17" t="n"/>
      <c r="H48" s="17" t="n"/>
      <c r="I48" s="17" t="n">
        <v>1</v>
      </c>
      <c r="J48" s="17" t="inlineStr">
        <is>
          <t>See spn_r16_mook1.</t>
        </is>
      </c>
    </row>
    <row r="49">
      <c r="A49" s="17" t="inlineStr">
        <is>
          <t>spn_e31_den</t>
        </is>
      </c>
      <c r="B49" s="17" t="inlineStr">
        <is>
          <t>map_e31</t>
        </is>
      </c>
      <c r="C49" s="17" t="inlineStr">
        <is>
          <t>den</t>
        </is>
      </c>
      <c r="D49" s="17" t="inlineStr">
        <is>
          <t>ea_war_captain</t>
        </is>
      </c>
      <c r="E49" s="17" t="n">
        <v>2</v>
      </c>
      <c r="F49" s="17" t="n">
        <v>20</v>
      </c>
      <c r="G49" s="17" t="n">
        <v>3</v>
      </c>
      <c r="H49" s="17" t="n">
        <v>3</v>
      </c>
      <c r="I49" s="17" t="n">
        <v>1</v>
      </c>
      <c r="J49" s="17" t="inlineStr">
        <is>
          <t>No named identity; ea_war_captain (generic miniboss template) reused at Act3 scale, a step up from the Act1/2 mooks used elsewhere for this sect.</t>
        </is>
      </c>
    </row>
    <row r="50">
      <c r="A50" s="17" t="inlineStr">
        <is>
          <t>spn_e31_mook1</t>
        </is>
      </c>
      <c r="B50" s="17" t="inlineStr">
        <is>
          <t>map_e31</t>
        </is>
      </c>
      <c r="C50" s="17" t="inlineStr">
        <is>
          <t>mook</t>
        </is>
      </c>
      <c r="D50" s="17" t="inlineStr">
        <is>
          <t>ea_war_captain</t>
        </is>
      </c>
      <c r="E50" s="17" t="n">
        <v>8</v>
      </c>
      <c r="F50" s="17" t="n">
        <v>5</v>
      </c>
      <c r="G50" s="17" t="n"/>
      <c r="H50" s="17" t="n"/>
      <c r="I50" s="17" t="n">
        <v>1</v>
      </c>
      <c r="J50" s="17" t="inlineStr">
        <is>
          <t>See spn_e31_den.</t>
        </is>
      </c>
    </row>
    <row r="51">
      <c r="A51" s="17" t="inlineStr">
        <is>
          <t>spn_e31_mook2</t>
        </is>
      </c>
      <c r="B51" s="17" t="inlineStr">
        <is>
          <t>map_e31</t>
        </is>
      </c>
      <c r="C51" s="17" t="inlineStr">
        <is>
          <t>mook</t>
        </is>
      </c>
      <c r="D51" s="17" t="inlineStr">
        <is>
          <t>ea_war_captain</t>
        </is>
      </c>
      <c r="E51" s="17" t="n">
        <v>13</v>
      </c>
      <c r="F51" s="17" t="n">
        <v>15</v>
      </c>
      <c r="G51" s="17" t="n"/>
      <c r="H51" s="17" t="n"/>
      <c r="I51" s="17" t="n">
        <v>1</v>
      </c>
      <c r="J51" s="17" t="inlineStr">
        <is>
          <t>See spn_e31_den.</t>
        </is>
      </c>
    </row>
    <row r="52">
      <c r="A52" s="17" t="inlineStr">
        <is>
          <t>spn_e32s_mook1</t>
        </is>
      </c>
      <c r="B52" s="17" t="inlineStr">
        <is>
          <t>map_e32_sanctified</t>
        </is>
      </c>
      <c r="C52" s="17" t="inlineStr">
        <is>
          <t>mook</t>
        </is>
      </c>
      <c r="D52" s="17" t="inlineStr">
        <is>
          <t>ea_war_captain</t>
        </is>
      </c>
      <c r="E52" s="17" t="n">
        <v>3</v>
      </c>
      <c r="F52" s="17" t="n">
        <v>5</v>
      </c>
      <c r="G52" s="17" t="n"/>
      <c r="H52" s="17" t="n"/>
      <c r="I52" s="17" t="n">
        <v>1</v>
      </c>
      <c r="J52" s="17" t="inlineStr">
        <is>
          <t>end_sanctified: 'NOT a boss fight against him... ranks and legions made literal and playable for the first time.' ea_war_captain reused three times to read as a legion, not a single named threat -- no real Lesser Key roster is invented here, that's separate future content.</t>
        </is>
      </c>
    </row>
    <row r="53">
      <c r="A53" s="17" t="inlineStr">
        <is>
          <t>spn_e32s_mook2</t>
        </is>
      </c>
      <c r="B53" s="17" t="inlineStr">
        <is>
          <t>map_e32_sanctified</t>
        </is>
      </c>
      <c r="C53" s="17" t="inlineStr">
        <is>
          <t>mook</t>
        </is>
      </c>
      <c r="D53" s="17" t="inlineStr">
        <is>
          <t>ea_war_captain</t>
        </is>
      </c>
      <c r="E53" s="17" t="n">
        <v>3</v>
      </c>
      <c r="F53" s="17" t="n">
        <v>20</v>
      </c>
      <c r="G53" s="17" t="n"/>
      <c r="H53" s="17" t="n"/>
      <c r="I53" s="17" t="n">
        <v>1</v>
      </c>
      <c r="J53" s="17" t="inlineStr">
        <is>
          <t>See spn_e32s_mook1.</t>
        </is>
      </c>
    </row>
    <row r="54">
      <c r="A54" s="17" t="inlineStr">
        <is>
          <t>spn_e32s_mook3</t>
        </is>
      </c>
      <c r="B54" s="17" t="inlineStr">
        <is>
          <t>map_e32_sanctified</t>
        </is>
      </c>
      <c r="C54" s="17" t="inlineStr">
        <is>
          <t>mook</t>
        </is>
      </c>
      <c r="D54" s="17" t="inlineStr">
        <is>
          <t>ea_war_captain</t>
        </is>
      </c>
      <c r="E54" s="17" t="n">
        <v>14</v>
      </c>
      <c r="F54" s="17" t="n">
        <v>13</v>
      </c>
      <c r="G54" s="17" t="n"/>
      <c r="H54" s="17" t="n"/>
      <c r="I54" s="17" t="n">
        <v>1</v>
      </c>
      <c r="J54" s="17" t="inlineStr">
        <is>
          <t>See spn_e32s_mook1.</t>
        </is>
      </c>
    </row>
    <row r="55">
      <c r="A55" s="17" t="inlineStr">
        <is>
          <t>spn_e32s_den</t>
        </is>
      </c>
      <c r="B55" s="17" t="inlineStr">
        <is>
          <t>map_e32_sanctified</t>
        </is>
      </c>
      <c r="C55" s="17" t="inlineStr">
        <is>
          <t>den</t>
        </is>
      </c>
      <c r="D55" s="17" t="inlineStr">
        <is>
          <t>ea_war_captain</t>
        </is>
      </c>
      <c r="E55" s="17" t="n">
        <v>1</v>
      </c>
      <c r="F55" s="17" t="n">
        <v>13</v>
      </c>
      <c r="G55" s="17" t="n">
        <v>3</v>
      </c>
      <c r="H55" s="17" t="n">
        <v>3</v>
      </c>
      <c r="I55" s="17" t="n">
        <v>1</v>
      </c>
      <c r="J55" s="17" t="inlineStr">
        <is>
          <t>See spn_e32s_mook1.</t>
        </is>
      </c>
    </row>
    <row r="56">
      <c r="A56" s="17" t="inlineStr">
        <is>
          <t>spn_e32p_boss</t>
        </is>
      </c>
      <c r="B56" s="17" t="inlineStr">
        <is>
          <t>map_e32_perverse</t>
        </is>
      </c>
      <c r="C56" s="17" t="inlineStr">
        <is>
          <t>boss</t>
        </is>
      </c>
      <c r="D56" s="17" t="inlineStr">
        <is>
          <t>ea_warlord</t>
        </is>
      </c>
      <c r="E56" s="17" t="n">
        <v>6</v>
      </c>
      <c r="F56" s="17" t="n">
        <v>11</v>
      </c>
      <c r="G56" s="17" t="n"/>
      <c r="H56" s="17" t="n"/>
      <c r="I56" s="17" t="n">
        <v>1</v>
      </c>
      <c r="J56" s="17" t="inlineStr">
        <is>
          <t>end_perverse: 'the party fights HIM directly.' ea_warlord (the generic boss-tier template) is the closest existing fit -- no unique stat line invented for him specifically, that's real future content. No den, matching this map's own design_note ('reads as a direct, personal fight... not an attritional one').</t>
        </is>
      </c>
      <c r="K56" s="17" t="inlineStr">
        <is>
          <t>wpn_sword_high</t>
        </is>
      </c>
    </row>
    <row r="57">
      <c r="A57" s="17" t="inlineStr">
        <is>
          <t>spn_h31_den</t>
        </is>
      </c>
      <c r="B57" s="17" t="inlineStr">
        <is>
          <t>map_h31</t>
        </is>
      </c>
      <c r="C57" s="17" t="inlineStr">
        <is>
          <t>den</t>
        </is>
      </c>
      <c r="D57" s="17" t="inlineStr">
        <is>
          <t>ea_war_captain</t>
        </is>
      </c>
      <c r="E57" s="17" t="n">
        <v>1</v>
      </c>
      <c r="F57" s="17" t="n">
        <v>20</v>
      </c>
      <c r="G57" s="17" t="n">
        <v>3</v>
      </c>
      <c r="H57" s="17" t="n">
        <v>3</v>
      </c>
      <c r="I57" s="17" t="n">
        <v>1</v>
      </c>
      <c r="J57" s="17" t="inlineStr">
        <is>
          <t>sect_id TBD on this whole route (see ch_h31's own note) -- ea_war_captain reused as generic conquest-army muscle, no faction identity implied.</t>
        </is>
      </c>
    </row>
    <row r="58">
      <c r="A58" s="17" t="inlineStr">
        <is>
          <t>spn_h31_mook1</t>
        </is>
      </c>
      <c r="B58" s="17" t="inlineStr">
        <is>
          <t>map_h31</t>
        </is>
      </c>
      <c r="C58" s="17" t="inlineStr">
        <is>
          <t>mook</t>
        </is>
      </c>
      <c r="D58" s="17" t="inlineStr">
        <is>
          <t>ea_war_captain</t>
        </is>
      </c>
      <c r="E58" s="17" t="n">
        <v>8</v>
      </c>
      <c r="F58" s="17" t="n">
        <v>13</v>
      </c>
      <c r="G58" s="17" t="n"/>
      <c r="H58" s="17" t="n"/>
      <c r="I58" s="17" t="n">
        <v>1</v>
      </c>
      <c r="J58" s="17" t="inlineStr">
        <is>
          <t>See spn_h31_den.</t>
        </is>
      </c>
    </row>
    <row r="59">
      <c r="A59" s="17" t="inlineStr">
        <is>
          <t>spn_h31_mook2</t>
        </is>
      </c>
      <c r="B59" s="17" t="inlineStr">
        <is>
          <t>map_h31</t>
        </is>
      </c>
      <c r="C59" s="17" t="inlineStr">
        <is>
          <t>mook</t>
        </is>
      </c>
      <c r="D59" s="17" t="inlineStr">
        <is>
          <t>ea_war_captain</t>
        </is>
      </c>
      <c r="E59" s="17" t="n">
        <v>13</v>
      </c>
      <c r="F59" s="17" t="n">
        <v>18</v>
      </c>
      <c r="G59" s="17" t="n"/>
      <c r="H59" s="17" t="n"/>
      <c r="I59" s="17" t="n">
        <v>1</v>
      </c>
      <c r="J59" s="17" t="inlineStr">
        <is>
          <t>See spn_h31_den.</t>
        </is>
      </c>
    </row>
    <row r="60">
      <c r="A60" s="17" t="inlineStr">
        <is>
          <t>spn_h33_den</t>
        </is>
      </c>
      <c r="B60" s="17" t="inlineStr">
        <is>
          <t>map_h33_mercy</t>
        </is>
      </c>
      <c r="C60" s="17" t="inlineStr">
        <is>
          <t>den</t>
        </is>
      </c>
      <c r="D60" s="17" t="inlineStr">
        <is>
          <t>ea_war_captain</t>
        </is>
      </c>
      <c r="E60" s="17" t="n">
        <v>1</v>
      </c>
      <c r="F60" s="17" t="n">
        <v>15</v>
      </c>
      <c r="G60" s="17" t="n">
        <v>3</v>
      </c>
      <c r="H60" s="17" t="n">
        <v>3</v>
      </c>
      <c r="I60" s="17" t="n">
        <v>1</v>
      </c>
      <c r="J60" s="17" t="inlineStr">
        <is>
          <t>No named identity; ea_war_captain reused, same tier as ch_h31 (the same movement, now underground).</t>
        </is>
      </c>
    </row>
    <row r="61">
      <c r="A61" s="17" t="inlineStr">
        <is>
          <t>spn_h33_mook1</t>
        </is>
      </c>
      <c r="B61" s="17" t="inlineStr">
        <is>
          <t>map_h33_mercy</t>
        </is>
      </c>
      <c r="C61" s="17" t="inlineStr">
        <is>
          <t>mook</t>
        </is>
      </c>
      <c r="D61" s="17" t="inlineStr">
        <is>
          <t>ea_war_captain</t>
        </is>
      </c>
      <c r="E61" s="17" t="n">
        <v>5</v>
      </c>
      <c r="F61" s="17" t="n">
        <v>3</v>
      </c>
      <c r="G61" s="17" t="n"/>
      <c r="H61" s="17" t="n"/>
      <c r="I61" s="17" t="n">
        <v>1</v>
      </c>
      <c r="J61" s="17" t="inlineStr">
        <is>
          <t>See spn_h33_den.</t>
        </is>
      </c>
    </row>
    <row r="62">
      <c r="A62" s="17" t="inlineStr">
        <is>
          <t>spn_h33_mook2</t>
        </is>
      </c>
      <c r="B62" s="17" t="inlineStr">
        <is>
          <t>map_h33_mercy</t>
        </is>
      </c>
      <c r="C62" s="17" t="inlineStr">
        <is>
          <t>mook</t>
        </is>
      </c>
      <c r="D62" s="17" t="inlineStr">
        <is>
          <t>ea_war_captain</t>
        </is>
      </c>
      <c r="E62" s="17" t="n">
        <v>10</v>
      </c>
      <c r="F62" s="17" t="n">
        <v>16</v>
      </c>
      <c r="G62" s="17" t="n"/>
      <c r="H62" s="17" t="n"/>
      <c r="I62" s="17" t="n">
        <v>1</v>
      </c>
      <c r="J62" s="17" t="inlineStr">
        <is>
          <t>See spn_h33_den.</t>
        </is>
      </c>
    </row>
    <row r="63">
      <c r="A63" s="17" t="inlineStr">
        <is>
          <t>spn_hw1_den</t>
        </is>
      </c>
      <c r="B63" s="17" t="inlineStr">
        <is>
          <t>map_h34_war1</t>
        </is>
      </c>
      <c r="C63" s="17" t="inlineStr">
        <is>
          <t>den</t>
        </is>
      </c>
      <c r="D63" s="17" t="inlineStr">
        <is>
          <t>ea_war_captain</t>
        </is>
      </c>
      <c r="E63" s="17" t="n">
        <v>1</v>
      </c>
      <c r="F63" s="17" t="n">
        <v>18</v>
      </c>
      <c r="G63" s="17" t="n">
        <v>3</v>
      </c>
      <c r="H63" s="17" t="n">
        <v>3</v>
      </c>
      <c r="I63" s="17" t="n">
        <v>1</v>
      </c>
      <c r="J63" s="17" t="inlineStr">
        <is>
          <t>'costly, attritional' (endings.end_hierophant_execution) -- ea_war_captain reused per front, same as ch_h31/ch_h33_mercy.</t>
        </is>
      </c>
    </row>
    <row r="64">
      <c r="A64" s="17" t="inlineStr">
        <is>
          <t>spn_hw1_mook1</t>
        </is>
      </c>
      <c r="B64" s="17" t="inlineStr">
        <is>
          <t>map_h34_war1</t>
        </is>
      </c>
      <c r="C64" s="17" t="inlineStr">
        <is>
          <t>mook</t>
        </is>
      </c>
      <c r="D64" s="17" t="inlineStr">
        <is>
          <t>ea_war_captain</t>
        </is>
      </c>
      <c r="E64" s="17" t="n">
        <v>6</v>
      </c>
      <c r="F64" s="17" t="n">
        <v>5</v>
      </c>
      <c r="G64" s="17" t="n"/>
      <c r="H64" s="17" t="n"/>
      <c r="I64" s="17" t="n">
        <v>1</v>
      </c>
      <c r="J64" s="17" t="inlineStr">
        <is>
          <t>See spn_hw1_den.</t>
        </is>
      </c>
    </row>
    <row r="65">
      <c r="A65" s="17" t="inlineStr">
        <is>
          <t>spn_hw1_mook2</t>
        </is>
      </c>
      <c r="B65" s="17" t="inlineStr">
        <is>
          <t>map_h34_war1</t>
        </is>
      </c>
      <c r="C65" s="17" t="inlineStr">
        <is>
          <t>mook</t>
        </is>
      </c>
      <c r="D65" s="17" t="inlineStr">
        <is>
          <t>ea_war_captain</t>
        </is>
      </c>
      <c r="E65" s="17" t="n">
        <v>10</v>
      </c>
      <c r="F65" s="17" t="n">
        <v>15</v>
      </c>
      <c r="G65" s="17" t="n"/>
      <c r="H65" s="17" t="n"/>
      <c r="I65" s="17" t="n">
        <v>1</v>
      </c>
      <c r="J65" s="17" t="inlineStr">
        <is>
          <t>See spn_hw1_den.</t>
        </is>
      </c>
    </row>
    <row r="66">
      <c r="A66" s="17" t="inlineStr">
        <is>
          <t>spn_hw2_den</t>
        </is>
      </c>
      <c r="B66" s="17" t="inlineStr">
        <is>
          <t>map_h34_war2</t>
        </is>
      </c>
      <c r="C66" s="17" t="inlineStr">
        <is>
          <t>den</t>
        </is>
      </c>
      <c r="D66" s="17" t="inlineStr">
        <is>
          <t>ea_war_captain</t>
        </is>
      </c>
      <c r="E66" s="17" t="n">
        <v>1</v>
      </c>
      <c r="F66" s="17" t="n">
        <v>18</v>
      </c>
      <c r="G66" s="17" t="n">
        <v>3</v>
      </c>
      <c r="H66" s="17" t="n">
        <v>3</v>
      </c>
      <c r="I66" s="17" t="n">
        <v>1</v>
      </c>
      <c r="J66" s="17" t="inlineStr">
        <is>
          <t>Same grounding and tier as spn_hw1_den -- the war's second, similarly grinding front.</t>
        </is>
      </c>
    </row>
    <row r="67">
      <c r="A67" s="17" t="inlineStr">
        <is>
          <t>spn_hw2_mook1</t>
        </is>
      </c>
      <c r="B67" s="17" t="inlineStr">
        <is>
          <t>map_h34_war2</t>
        </is>
      </c>
      <c r="C67" s="17" t="inlineStr">
        <is>
          <t>mook</t>
        </is>
      </c>
      <c r="D67" s="17" t="inlineStr">
        <is>
          <t>ea_war_captain</t>
        </is>
      </c>
      <c r="E67" s="17" t="n">
        <v>6</v>
      </c>
      <c r="F67" s="17" t="n">
        <v>5</v>
      </c>
      <c r="G67" s="17" t="n"/>
      <c r="H67" s="17" t="n"/>
      <c r="I67" s="17" t="n">
        <v>1</v>
      </c>
      <c r="J67" s="17" t="inlineStr">
        <is>
          <t>See spn_hw2_den.</t>
        </is>
      </c>
    </row>
    <row r="68">
      <c r="A68" s="17" t="inlineStr">
        <is>
          <t>spn_hw2_mook2</t>
        </is>
      </c>
      <c r="B68" s="17" t="inlineStr">
        <is>
          <t>map_h34_war2</t>
        </is>
      </c>
      <c r="C68" s="17" t="inlineStr">
        <is>
          <t>mook</t>
        </is>
      </c>
      <c r="D68" s="17" t="inlineStr">
        <is>
          <t>ea_war_captain</t>
        </is>
      </c>
      <c r="E68" s="17" t="n">
        <v>10</v>
      </c>
      <c r="F68" s="17" t="n">
        <v>15</v>
      </c>
      <c r="G68" s="17" t="n"/>
      <c r="H68" s="17" t="n"/>
      <c r="I68" s="17" t="n">
        <v>1</v>
      </c>
      <c r="J68" s="17" t="inlineStr">
        <is>
          <t>See spn_hw2_den.</t>
        </is>
      </c>
    </row>
    <row r="69">
      <c r="A69" s="17" t="inlineStr">
        <is>
          <t>spn_hw3_boss</t>
        </is>
      </c>
      <c r="B69" s="17" t="inlineStr">
        <is>
          <t>map_h34_war3</t>
        </is>
      </c>
      <c r="C69" s="17" t="inlineStr">
        <is>
          <t>boss</t>
        </is>
      </c>
      <c r="D69" s="17" t="inlineStr">
        <is>
          <t>ea_warlord</t>
        </is>
      </c>
      <c r="E69" s="17" t="n">
        <v>4</v>
      </c>
      <c r="F69" s="17" t="n">
        <v>10</v>
      </c>
      <c r="G69" s="17" t="n"/>
      <c r="H69" s="17" t="n"/>
      <c r="I69" s="17" t="n">
        <v>1</v>
      </c>
      <c r="J69" s="17" t="inlineStr">
        <is>
          <t>Closing chapter of the invented War arc -- ea_warlord (boss-tier template) reused for 'where it finally stops,' the arc's toughest fight.</t>
        </is>
      </c>
      <c r="K69" s="17" t="inlineStr">
        <is>
          <t>wpn_axe_high</t>
        </is>
      </c>
    </row>
    <row r="70">
      <c r="A70" s="17" t="inlineStr">
        <is>
          <t>spn_hw3_den</t>
        </is>
      </c>
      <c r="B70" s="17" t="inlineStr">
        <is>
          <t>map_h34_war3</t>
        </is>
      </c>
      <c r="C70" s="17" t="inlineStr">
        <is>
          <t>den</t>
        </is>
      </c>
      <c r="D70" s="17" t="inlineStr">
        <is>
          <t>ea_war_captain</t>
        </is>
      </c>
      <c r="E70" s="17" t="n">
        <v>1</v>
      </c>
      <c r="F70" s="17" t="n">
        <v>20</v>
      </c>
      <c r="G70" s="17" t="n">
        <v>3</v>
      </c>
      <c r="H70" s="17" t="n">
        <v>3</v>
      </c>
      <c r="I70" s="17" t="n">
        <v>1</v>
      </c>
      <c r="J70" s="17" t="inlineStr">
        <is>
          <t>Still attritional even at the close -- one last reinforcement den.</t>
        </is>
      </c>
    </row>
    <row r="71">
      <c r="A71" s="17" t="inlineStr">
        <is>
          <t>spn_pmacuil_boss</t>
        </is>
      </c>
      <c r="B71" s="17" t="inlineStr">
        <is>
          <t>map_p_macuil</t>
        </is>
      </c>
      <c r="C71" s="17" t="inlineStr">
        <is>
          <t>boss</t>
        </is>
      </c>
      <c r="D71" s="17" t="inlineStr">
        <is>
          <t>ea_warlord</t>
        </is>
      </c>
      <c r="E71" s="17" t="n">
        <v>5</v>
      </c>
      <c r="F71" s="17" t="n">
        <v>12</v>
      </c>
      <c r="G71" s="17" t="n"/>
      <c r="H71" s="17" t="n"/>
      <c r="I71" s="17" t="n">
        <v>1</v>
      </c>
      <c r="J71" s="17" t="inlineStr">
        <is>
          <t>npcs.npc_macuil: 'paralogue capstone.' ea_warlord reused for capstone-tier difficulty. Repositioned (2026-09-24) to row5/col12 -- dry shoreline ground at the map's new eastern shore, next to the regrounded seize tile, not in the lake patch the old row5/col8 coordinate now falls inside.</t>
        </is>
      </c>
      <c r="K71" s="17" t="inlineStr">
        <is>
          <t>wpn_axe_high</t>
        </is>
      </c>
    </row>
    <row r="72">
      <c r="A72" s="17" t="inlineStr">
        <is>
          <t>spn_pindech_boss</t>
        </is>
      </c>
      <c r="B72" s="17" t="inlineStr">
        <is>
          <t>map_p_indech</t>
        </is>
      </c>
      <c r="C72" s="17" t="inlineStr">
        <is>
          <t>boss</t>
        </is>
      </c>
      <c r="D72" s="17" t="inlineStr">
        <is>
          <t>ea_warlord</t>
        </is>
      </c>
      <c r="E72" s="17" t="n">
        <v>2</v>
      </c>
      <c r="F72" s="17" t="n">
        <v>8</v>
      </c>
      <c r="G72" s="17" t="n"/>
      <c r="H72" s="17" t="n"/>
      <c r="I72" s="17" t="n">
        <v>1</v>
      </c>
      <c r="J72" s="17" t="inlineStr">
        <is>
          <t>npcs.npc_indech: 'paralogue capstone,' same treatment as map_p_macuil.</t>
        </is>
      </c>
      <c r="K72" s="17" t="inlineStr">
        <is>
          <t>wpn_axe_high</t>
        </is>
      </c>
    </row>
    <row r="73">
      <c r="A73" s="17" t="inlineStr">
        <is>
          <t>spn_pshadhavar_boss</t>
        </is>
      </c>
      <c r="B73" s="17" t="inlineStr">
        <is>
          <t>map_p_shadhavar</t>
        </is>
      </c>
      <c r="C73" s="17" t="inlineStr">
        <is>
          <t>boss</t>
        </is>
      </c>
      <c r="D73" s="17" t="inlineStr">
        <is>
          <t>ea_shadhavar</t>
        </is>
      </c>
      <c r="E73" s="17" t="n">
        <v>4</v>
      </c>
      <c r="F73" s="17" t="n">
        <v>9</v>
      </c>
      <c r="I73" s="17" t="n">
        <v>1</v>
      </c>
      <c r="J73" s="17" t="inlineStr">
        <is>
          <t>locations.loc_lowest_terrace / named.nmd_shadhavar: the creature itself, placed mid-terrace, one tile east of the seize tile at row4/col8 (see game/data/maps/map_p_shadhavar.txt) -- same adjacent-not-overlapping placement used for spn_pmacuil_boss after that map's own correction.</t>
        </is>
      </c>
      <c r="K73" s="17" t="inlineStr">
        <is>
          <t>wpn_reason_high</t>
        </is>
      </c>
    </row>
    <row r="74">
      <c r="A74" s="17" t="inlineStr">
        <is>
          <t>spn_psimurgh_boss</t>
        </is>
      </c>
      <c r="B74" s="17" t="inlineStr">
        <is>
          <t>map_p_simurgh</t>
        </is>
      </c>
      <c r="C74" s="17" t="inlineStr">
        <is>
          <t>boss</t>
        </is>
      </c>
      <c r="D74" s="17" t="inlineStr">
        <is>
          <t>ea_simurgh</t>
        </is>
      </c>
      <c r="E74" s="17" t="n">
        <v>6</v>
      </c>
      <c r="F74" s="17" t="n">
        <v>9</v>
      </c>
      <c r="I74" s="17" t="n">
        <v>1</v>
      </c>
      <c r="J74" s="17" t="inlineStr">
        <is>
          <t>locations.loc_simurgh_nest / named.nmd_simurgh: the creature at her nest, one tile east of the seize tile at row6/col8 (see game/data/maps/map_p_simurgh.txt) -- same adjacent-not-overlapping placement used for spn_pmacuil_boss and spn_pshadhavar_boss.</t>
        </is>
      </c>
      <c r="K74" s="17" t="inlineStr">
        <is>
          <t>wpn_faith_high</t>
        </is>
      </c>
    </row>
    <row r="75">
      <c r="A75" s="17" t="inlineStr">
        <is>
          <t>spn_pkarkadann_boss</t>
        </is>
      </c>
      <c r="B75" s="17" t="inlineStr">
        <is>
          <t>map_p_karkadann</t>
        </is>
      </c>
      <c r="C75" s="17" t="inlineStr">
        <is>
          <t>boss</t>
        </is>
      </c>
      <c r="D75" s="17" t="inlineStr">
        <is>
          <t>ea_karkadann</t>
        </is>
      </c>
      <c r="E75" s="17" t="n">
        <v>4</v>
      </c>
      <c r="F75" s="17" t="n">
        <v>9</v>
      </c>
      <c r="I75" s="17" t="n">
        <v>1</v>
      </c>
      <c r="J75" s="17" t="inlineStr">
        <is>
          <t>locations.loc_dove_colony / named.nmd_karkadann: the creature guarding the clearing's center, one tile east of the seize tile at row4/col8 (see game/data/maps/map_p_karkadann.txt) -- same adjacent-not-overlapping placement used for every other Named stand-in this session.</t>
        </is>
      </c>
      <c r="K75" s="17" t="inlineStr">
        <is>
          <t>wpn_brawl_high</t>
        </is>
      </c>
    </row>
    <row r="76">
      <c r="A76" s="17" t="inlineStr">
        <is>
          <t>spn_panzu_boss</t>
        </is>
      </c>
      <c r="B76" s="17" t="inlineStr">
        <is>
          <t>map_p_anzu</t>
        </is>
      </c>
      <c r="C76" s="17" t="inlineStr">
        <is>
          <t>boss</t>
        </is>
      </c>
      <c r="D76" s="17" t="inlineStr">
        <is>
          <t>ea_anzu</t>
        </is>
      </c>
      <c r="E76" s="17" t="n">
        <v>6</v>
      </c>
      <c r="F76" s="17" t="n">
        <v>10</v>
      </c>
      <c r="I76" s="17" t="n">
        <v>1</v>
      </c>
      <c r="J76" s="17" t="inlineStr">
        <is>
          <t>locations.loc_flats_interior / named.nmd_anzu: the creature standing alone in the open flat, one tile east of the seize tile at row6/col9 (see game/data/maps/map_p_anzu.txt) -- same adjacent-not-overlapping placement used for every other Named stand-in this session.</t>
        </is>
      </c>
      <c r="K76" s="17" t="inlineStr">
        <is>
          <t>wpn_bow_high</t>
        </is>
      </c>
    </row>
    <row r="77">
      <c r="A77" s="17" t="inlineStr">
        <is>
          <t>spn_phuma_mook1</t>
        </is>
      </c>
      <c r="B77" s="17" t="inlineStr">
        <is>
          <t>map_p_huma</t>
        </is>
      </c>
      <c r="C77" s="17" t="inlineStr">
        <is>
          <t>mook</t>
        </is>
      </c>
      <c r="D77" s="17" t="inlineStr">
        <is>
          <t>ea_looter</t>
        </is>
      </c>
      <c r="E77" s="17" t="n">
        <v>1</v>
      </c>
      <c r="F77" s="17" t="n">
        <v>10</v>
      </c>
      <c r="I77" s="17" t="n">
        <v>1</v>
      </c>
      <c r="J77" s="17" t="inlineStr">
        <is>
          <t>No named identity, same reuse as map_r16's own two looter mooks -- 'opportunists working the toll road', this time the open stretch rather than the toll-city itself. reinforcement_source=none, mooks only, no den.</t>
        </is>
      </c>
    </row>
    <row r="78">
      <c r="A78" s="17" t="inlineStr">
        <is>
          <t>spn_phuma_mook2</t>
        </is>
      </c>
      <c r="B78" s="17" t="inlineStr">
        <is>
          <t>map_p_huma</t>
        </is>
      </c>
      <c r="C78" s="17" t="inlineStr">
        <is>
          <t>mook</t>
        </is>
      </c>
      <c r="D78" s="17" t="inlineStr">
        <is>
          <t>ea_looter</t>
        </is>
      </c>
      <c r="E78" s="17" t="n">
        <v>5</v>
      </c>
      <c r="F78" s="17" t="n">
        <v>10</v>
      </c>
      <c r="I78" s="17" t="n">
        <v>1</v>
      </c>
      <c r="J78" s="17" t="inlineStr">
        <is>
          <t>See spn_phuma_mook1.</t>
        </is>
      </c>
    </row>
    <row r="79">
      <c r="A79" s="17" t="inlineStr">
        <is>
          <t>spn_pburiedworks_boss</t>
        </is>
      </c>
      <c r="B79" s="17" t="inlineStr">
        <is>
          <t>map_p_buried_works</t>
        </is>
      </c>
      <c r="C79" s="17" t="inlineStr">
        <is>
          <t>boss</t>
        </is>
      </c>
      <c r="D79" s="17" t="inlineStr">
        <is>
          <t>ea_hardened_veteran</t>
        </is>
      </c>
      <c r="E79" s="17" t="n">
        <v>4</v>
      </c>
      <c r="F79" s="17" t="n">
        <v>13</v>
      </c>
      <c r="I79" s="17" t="n">
        <v>1</v>
      </c>
      <c r="J79" s="17" t="inlineStr">
        <is>
          <t>No named identity, same reuse ch_v21's own encounter_spawns row already used ea_hardened_veteran for -- 'complicit hands' generally, the works' overseer guarding the archive doorway.</t>
        </is>
      </c>
      <c r="K79" s="17" t="inlineStr">
        <is>
          <t>wpn_sword_mid</t>
        </is>
      </c>
    </row>
    <row r="80">
      <c r="A80" s="17" t="inlineStr">
        <is>
          <t>spn_pburiedworks_mook</t>
        </is>
      </c>
      <c r="B80" s="17" t="inlineStr">
        <is>
          <t>map_p_buried_works</t>
        </is>
      </c>
      <c r="C80" s="17" t="inlineStr">
        <is>
          <t>mook</t>
        </is>
      </c>
      <c r="D80" s="17" t="inlineStr">
        <is>
          <t>ea_hardened_veteran</t>
        </is>
      </c>
      <c r="E80" s="17" t="n">
        <v>10</v>
      </c>
      <c r="F80" s="17" t="n">
        <v>6</v>
      </c>
      <c r="I80" s="17" t="n">
        <v>1</v>
      </c>
      <c r="J80" s="17" t="inlineStr">
        <is>
          <t>See spn_pburiedworks_boss -- a second complicit guard on the south corridor bypass.</t>
        </is>
      </c>
    </row>
    <row r="81">
      <c r="A81" s="17" t="inlineStr">
        <is>
          <t>spn_d04_boss</t>
        </is>
      </c>
      <c r="B81" s="17" t="inlineStr">
        <is>
          <t>map_d04</t>
        </is>
      </c>
      <c r="C81" s="17" t="inlineStr">
        <is>
          <t>boss</t>
        </is>
      </c>
      <c r="D81" s="17" t="inlineStr">
        <is>
          <t>ea_looter</t>
        </is>
      </c>
      <c r="E81" s="17" t="n">
        <v>3</v>
      </c>
      <c r="F81" s="17" t="n">
        <v>12</v>
      </c>
      <c r="I81" s="17" t="n">
        <v>1</v>
      </c>
      <c r="J81" s="17" t="inlineStr">
        <is>
          <t>The looter ringleader exploiting the dockside unrest -- see chapters.ch_d04's own note on why the protesters themselves aren't combatants.</t>
        </is>
      </c>
    </row>
    <row r="82">
      <c r="A82" s="17" t="inlineStr">
        <is>
          <t>spn_d04_mook</t>
        </is>
      </c>
      <c r="B82" s="17" t="inlineStr">
        <is>
          <t>map_d04</t>
        </is>
      </c>
      <c r="C82" s="17" t="inlineStr">
        <is>
          <t>mook</t>
        </is>
      </c>
      <c r="D82" s="17" t="inlineStr">
        <is>
          <t>ea_looter</t>
        </is>
      </c>
      <c r="E82" s="17" t="n">
        <v>6</v>
      </c>
      <c r="F82" s="17" t="n">
        <v>4</v>
      </c>
      <c r="I82" s="17" t="n">
        <v>1</v>
      </c>
      <c r="J82" s="17" t="inlineStr">
        <is>
          <t>See spn_d04_boss.</t>
        </is>
      </c>
    </row>
    <row r="83">
      <c r="A83" s="17" t="inlineStr">
        <is>
          <t>spn_d06_boss</t>
        </is>
      </c>
      <c r="B83" s="17" t="inlineStr">
        <is>
          <t>map_d06</t>
        </is>
      </c>
      <c r="C83" s="17" t="inlineStr">
        <is>
          <t>boss</t>
        </is>
      </c>
      <c r="D83" s="17" t="inlineStr">
        <is>
          <t>ea_garrison</t>
        </is>
      </c>
      <c r="E83" s="17" t="n">
        <v>5</v>
      </c>
      <c r="F83" s="17" t="n">
        <v>10</v>
      </c>
      <c r="I83" s="17" t="n">
        <v>1</v>
      </c>
      <c r="J83" s="17" t="inlineStr">
        <is>
          <t>ea_garrison ('fatigued and not a threat', per its own notes) -- a skeleton crew watching a port stranded above its own water, not a real defense.</t>
        </is>
      </c>
    </row>
    <row r="84">
      <c r="A84" s="17" t="inlineStr">
        <is>
          <t>spn_d07_boss</t>
        </is>
      </c>
      <c r="B84" s="17" t="inlineStr">
        <is>
          <t>map_d07</t>
        </is>
      </c>
      <c r="C84" s="17" t="inlineStr">
        <is>
          <t>boss</t>
        </is>
      </c>
      <c r="D84" s="17" t="inlineStr">
        <is>
          <t>ea_looter</t>
        </is>
      </c>
      <c r="E84" s="17" t="n">
        <v>4</v>
      </c>
      <c r="F84" s="17" t="n">
        <v>9</v>
      </c>
      <c r="I84" s="17" t="n">
        <v>1</v>
      </c>
      <c r="J84" s="17" t="inlineStr">
        <is>
          <t>Scavengers picking through the ruin -- the renunciants who live here are not combatants, see chapters.ch_d07.</t>
        </is>
      </c>
    </row>
    <row r="85">
      <c r="A85" s="17" t="inlineStr">
        <is>
          <t>spn_d08_boss</t>
        </is>
      </c>
      <c r="B85" s="17" t="inlineStr">
        <is>
          <t>map_d08</t>
        </is>
      </c>
      <c r="C85" s="17" t="inlineStr">
        <is>
          <t>boss</t>
        </is>
      </c>
      <c r="D85" s="17" t="inlineStr">
        <is>
          <t>ea_war_captain</t>
        </is>
      </c>
      <c r="E85" s="17" t="n">
        <v>4</v>
      </c>
      <c r="F85" s="17" t="n">
        <v>15</v>
      </c>
      <c r="I85" s="17" t="n">
        <v>1</v>
      </c>
      <c r="J85" s="17" t="inlineStr">
        <is>
          <t>A mobile raiding party leader, matching 'punishes slow armies' by being fast itself.</t>
        </is>
      </c>
      <c r="K85" s="17" t="inlineStr">
        <is>
          <t>wpn_lance_mid</t>
        </is>
      </c>
    </row>
    <row r="86">
      <c r="A86" s="17" t="inlineStr">
        <is>
          <t>spn_d08_mook</t>
        </is>
      </c>
      <c r="B86" s="17" t="inlineStr">
        <is>
          <t>map_d08</t>
        </is>
      </c>
      <c r="C86" s="17" t="inlineStr">
        <is>
          <t>mook</t>
        </is>
      </c>
      <c r="D86" s="17" t="inlineStr">
        <is>
          <t>ea_conscript_levy</t>
        </is>
      </c>
      <c r="E86" s="17" t="n">
        <v>6</v>
      </c>
      <c r="F86" s="17" t="n">
        <v>15</v>
      </c>
      <c r="I86" s="17" t="n">
        <v>1</v>
      </c>
      <c r="J86" s="17" t="inlineStr">
        <is>
          <t>See spn_d08_boss.</t>
        </is>
      </c>
    </row>
    <row r="87">
      <c r="A87" s="17" t="inlineStr">
        <is>
          <t>spn_d09_mook1</t>
        </is>
      </c>
      <c r="B87" s="17" t="inlineStr">
        <is>
          <t>map_d09</t>
        </is>
      </c>
      <c r="C87" s="17" t="inlineStr">
        <is>
          <t>mook</t>
        </is>
      </c>
      <c r="D87" s="17" t="inlineStr">
        <is>
          <t>ea_conscript_levy</t>
        </is>
      </c>
      <c r="E87" s="17" t="n">
        <v>2</v>
      </c>
      <c r="F87" s="17" t="n">
        <v>9</v>
      </c>
      <c r="I87" s="17" t="n">
        <v>1</v>
      </c>
      <c r="J87" s="17" t="inlineStr">
        <is>
          <t>Local levies guarding the narrow lava-fan pass, no boss -- same road-map pattern as ch_p_huma.</t>
        </is>
      </c>
    </row>
    <row r="88">
      <c r="A88" s="17" t="inlineStr">
        <is>
          <t>spn_d09_mook2</t>
        </is>
      </c>
      <c r="B88" s="17" t="inlineStr">
        <is>
          <t>map_d09</t>
        </is>
      </c>
      <c r="C88" s="17" t="inlineStr">
        <is>
          <t>mook</t>
        </is>
      </c>
      <c r="D88" s="17" t="inlineStr">
        <is>
          <t>ea_conscript_levy</t>
        </is>
      </c>
      <c r="E88" s="17" t="n">
        <v>5</v>
      </c>
      <c r="F88" s="17" t="n">
        <v>9</v>
      </c>
      <c r="I88" s="17" t="n">
        <v>1</v>
      </c>
      <c r="J88" s="17" t="inlineStr">
        <is>
          <t>See spn_d09_mook1.</t>
        </is>
      </c>
    </row>
    <row r="89">
      <c r="A89" s="17" t="inlineStr">
        <is>
          <t>spn_d10_boss</t>
        </is>
      </c>
      <c r="B89" s="17" t="inlineStr">
        <is>
          <t>map_d10</t>
        </is>
      </c>
      <c r="C89" s="17" t="inlineStr">
        <is>
          <t>boss</t>
        </is>
      </c>
      <c r="D89" s="17" t="inlineStr">
        <is>
          <t>ea_war_captain</t>
        </is>
      </c>
      <c r="E89" s="17" t="n">
        <v>3</v>
      </c>
      <c r="F89" s="17" t="n">
        <v>13</v>
      </c>
      <c r="I89" s="17" t="n">
        <v>1</v>
      </c>
      <c r="J89" s="17" t="inlineStr">
        <is>
          <t>The gate captain -- 'the Unstained will not talk to you' means this is the answer instead.</t>
        </is>
      </c>
      <c r="K89" s="17" t="inlineStr">
        <is>
          <t>wpn_lance_mid</t>
        </is>
      </c>
    </row>
    <row r="90">
      <c r="A90" s="17" t="inlineStr">
        <is>
          <t>spn_d10_mook</t>
        </is>
      </c>
      <c r="B90" s="17" t="inlineStr">
        <is>
          <t>map_d10</t>
        </is>
      </c>
      <c r="C90" s="17" t="inlineStr">
        <is>
          <t>mook</t>
        </is>
      </c>
      <c r="D90" s="17" t="inlineStr">
        <is>
          <t>ea_hardened_veteran</t>
        </is>
      </c>
      <c r="E90" s="17" t="n">
        <v>6</v>
      </c>
      <c r="F90" s="17" t="n">
        <v>13</v>
      </c>
      <c r="I90" s="17" t="n">
        <v>1</v>
      </c>
      <c r="J90" s="17" t="inlineStr">
        <is>
          <t>Household guard, same 'complicit hands' reuse as ch_v21/ch_p_buried_works.</t>
        </is>
      </c>
    </row>
    <row r="91">
      <c r="A91" s="17" t="inlineStr">
        <is>
          <t>spn_a04_boss</t>
        </is>
      </c>
      <c r="B91" s="17" t="inlineStr">
        <is>
          <t>map_a04</t>
        </is>
      </c>
      <c r="C91" s="17" t="inlineStr">
        <is>
          <t>boss</t>
        </is>
      </c>
      <c r="D91" s="17" t="inlineStr">
        <is>
          <t>ea_looter</t>
        </is>
      </c>
      <c r="E91" s="17" t="n">
        <v>3</v>
      </c>
      <c r="F91" s="17" t="n">
        <v>12</v>
      </c>
      <c r="I91" s="17" t="n">
        <v>1</v>
      </c>
      <c r="J91" s="17" t="inlineStr">
        <is>
          <t>Opportunists working the medicine trade, same framing as ch_d04's harbour.</t>
        </is>
      </c>
    </row>
    <row r="92">
      <c r="A92" s="17" t="inlineStr">
        <is>
          <t>spn_a04_mook</t>
        </is>
      </c>
      <c r="B92" s="17" t="inlineStr">
        <is>
          <t>map_a04</t>
        </is>
      </c>
      <c r="C92" s="17" t="inlineStr">
        <is>
          <t>mook</t>
        </is>
      </c>
      <c r="D92" s="17" t="inlineStr">
        <is>
          <t>ea_looter</t>
        </is>
      </c>
      <c r="E92" s="17" t="n">
        <v>6</v>
      </c>
      <c r="F92" s="17" t="n">
        <v>4</v>
      </c>
      <c r="I92" s="17" t="n">
        <v>1</v>
      </c>
      <c r="J92" s="17" t="inlineStr">
        <is>
          <t>See spn_a04_boss.</t>
        </is>
      </c>
    </row>
    <row r="93">
      <c r="A93" s="17" t="inlineStr">
        <is>
          <t>spn_a05_boss</t>
        </is>
      </c>
      <c r="B93" s="17" t="inlineStr">
        <is>
          <t>map_a05</t>
        </is>
      </c>
      <c r="C93" s="17" t="inlineStr">
        <is>
          <t>boss</t>
        </is>
      </c>
      <c r="D93" s="17" t="inlineStr">
        <is>
          <t>ea_looter</t>
        </is>
      </c>
      <c r="E93" s="17" t="n">
        <v>10</v>
      </c>
      <c r="F93" s="17" t="n">
        <v>9</v>
      </c>
      <c r="I93" s="17" t="n">
        <v>1</v>
      </c>
      <c r="J93" s="17" t="inlineStr">
        <is>
          <t>Scavengers picking through the drowned town, same framing as ch_d07.</t>
        </is>
      </c>
    </row>
    <row r="94">
      <c r="A94" s="17" t="inlineStr">
        <is>
          <t>spn_a06_boss</t>
        </is>
      </c>
      <c r="B94" s="17" t="inlineStr">
        <is>
          <t>map_a06</t>
        </is>
      </c>
      <c r="C94" s="17" t="inlineStr">
        <is>
          <t>boss</t>
        </is>
      </c>
      <c r="D94" s="17" t="inlineStr">
        <is>
          <t>ea_war_captain</t>
        </is>
      </c>
      <c r="E94" s="17" t="n">
        <v>3</v>
      </c>
      <c r="F94" s="17" t="n">
        <v>14</v>
      </c>
      <c r="I94" s="17" t="n">
        <v>1</v>
      </c>
      <c r="J94" s="17" t="inlineStr">
        <is>
          <t>A mobile Plains raiding party leader threatening the frontier city.</t>
        </is>
      </c>
      <c r="K94" s="17" t="inlineStr">
        <is>
          <t>wpn_lance_mid</t>
        </is>
      </c>
    </row>
    <row r="95">
      <c r="A95" s="17" t="inlineStr">
        <is>
          <t>spn_a06_mook</t>
        </is>
      </c>
      <c r="B95" s="17" t="inlineStr">
        <is>
          <t>map_a06</t>
        </is>
      </c>
      <c r="C95" s="17" t="inlineStr">
        <is>
          <t>mook</t>
        </is>
      </c>
      <c r="D95" s="17" t="inlineStr">
        <is>
          <t>ea_war_captain</t>
        </is>
      </c>
      <c r="E95" s="17" t="n">
        <v>6</v>
      </c>
      <c r="F95" s="17" t="n">
        <v>14</v>
      </c>
      <c r="I95" s="17" t="n">
        <v>1</v>
      </c>
      <c r="J95" s="17" t="inlineStr">
        <is>
          <t>See spn_a06_boss.</t>
        </is>
      </c>
    </row>
    <row r="96">
      <c r="A96" s="17" t="inlineStr">
        <is>
          <t>spn_a07_boss</t>
        </is>
      </c>
      <c r="B96" s="17" t="inlineStr">
        <is>
          <t>map_a07</t>
        </is>
      </c>
      <c r="C96" s="17" t="inlineStr">
        <is>
          <t>boss</t>
        </is>
      </c>
      <c r="D96" s="17" t="inlineStr">
        <is>
          <t>ea_hardened_veteran</t>
        </is>
      </c>
      <c r="E96" s="17" t="n">
        <v>4</v>
      </c>
      <c r="F96" s="17" t="n">
        <v>12</v>
      </c>
      <c r="I96" s="17" t="n">
        <v>1</v>
      </c>
      <c r="J96" s="17" t="inlineStr">
        <is>
          <t>Escarpment fighting -- an organized veteran force holding the cliff edge.</t>
        </is>
      </c>
      <c r="K96" s="17" t="inlineStr">
        <is>
          <t>wpn_sword_mid</t>
        </is>
      </c>
    </row>
    <row r="97">
      <c r="A97" s="17" t="inlineStr">
        <is>
          <t>spn_a08_boss</t>
        </is>
      </c>
      <c r="B97" s="17" t="inlineStr">
        <is>
          <t>map_a08</t>
        </is>
      </c>
      <c r="C97" s="17" t="inlineStr">
        <is>
          <t>boss</t>
        </is>
      </c>
      <c r="D97" s="17" t="inlineStr">
        <is>
          <t>ea_looter</t>
        </is>
      </c>
      <c r="E97" s="17" t="n">
        <v>5</v>
      </c>
      <c r="F97" s="17" t="n">
        <v>12</v>
      </c>
      <c r="I97" s="17" t="n">
        <v>1</v>
      </c>
      <c r="J97" s="17" t="inlineStr">
        <is>
          <t>Bandits using the treeline for cover, not an organized force.</t>
        </is>
      </c>
    </row>
    <row r="98">
      <c r="A98" s="17" t="inlineStr">
        <is>
          <t>spn_a09_boss</t>
        </is>
      </c>
      <c r="B98" s="17" t="inlineStr">
        <is>
          <t>map_a09</t>
        </is>
      </c>
      <c r="C98" s="17" t="inlineStr">
        <is>
          <t>boss</t>
        </is>
      </c>
      <c r="D98" s="17" t="inlineStr">
        <is>
          <t>ea_conscript_levy</t>
        </is>
      </c>
      <c r="E98" s="17" t="n">
        <v>3</v>
      </c>
      <c r="F98" s="17" t="n">
        <v>10</v>
      </c>
      <c r="I98" s="17" t="n">
        <v>1</v>
      </c>
      <c r="J98" s="17" t="inlineStr">
        <is>
          <t>sect_march's own 'Prophecy NPCs convert green levies' -- levies mid-conversion.</t>
        </is>
      </c>
    </row>
    <row r="99">
      <c r="A99" s="17" t="inlineStr">
        <is>
          <t>spn_a10_boss</t>
        </is>
      </c>
      <c r="B99" s="17" t="inlineStr">
        <is>
          <t>map_a10</t>
        </is>
      </c>
      <c r="C99" s="17" t="inlineStr">
        <is>
          <t>boss</t>
        </is>
      </c>
      <c r="D99" s="17" t="inlineStr">
        <is>
          <t>ea_war_captain</t>
        </is>
      </c>
      <c r="E99" s="17" t="n">
        <v>3</v>
      </c>
      <c r="F99" s="17" t="n">
        <v>12</v>
      </c>
      <c r="I99" s="17" t="n">
        <v>1</v>
      </c>
      <c r="J99" s="17" t="inlineStr">
        <is>
          <t>The chapel's defender captain, mirroring ch_d10's gate captain.</t>
        </is>
      </c>
      <c r="K99" s="17" t="inlineStr">
        <is>
          <t>wpn_lance_mid</t>
        </is>
      </c>
    </row>
    <row r="100">
      <c r="A100" s="17" t="inlineStr">
        <is>
          <t>spn_a10_mook</t>
        </is>
      </c>
      <c r="B100" s="17" t="inlineStr">
        <is>
          <t>map_a10</t>
        </is>
      </c>
      <c r="C100" s="17" t="inlineStr">
        <is>
          <t>mook</t>
        </is>
      </c>
      <c r="D100" s="17" t="inlineStr">
        <is>
          <t>ea_hardened_veteran</t>
        </is>
      </c>
      <c r="E100" s="17" t="n">
        <v>6</v>
      </c>
      <c r="F100" s="17" t="n">
        <v>12</v>
      </c>
      <c r="I100" s="17" t="n">
        <v>1</v>
      </c>
      <c r="J100" s="17" t="inlineStr">
        <is>
          <t>Household guard, same composition as ch_d10.</t>
        </is>
      </c>
    </row>
    <row r="101">
      <c r="A101" s="17" t="inlineStr">
        <is>
          <t>spn_k21_boss</t>
        </is>
      </c>
      <c r="B101" s="17" t="inlineStr">
        <is>
          <t>map_k21</t>
        </is>
      </c>
      <c r="C101" s="17" t="inlineStr">
        <is>
          <t>boss</t>
        </is>
      </c>
      <c r="D101" s="17" t="inlineStr">
        <is>
          <t>ea_war_captain</t>
        </is>
      </c>
      <c r="E101" s="17" t="n">
        <v>6</v>
      </c>
      <c r="F101" s="17" t="n">
        <v>15</v>
      </c>
      <c r="I101" s="17" t="n">
        <v>1</v>
      </c>
      <c r="J101" s="17" t="inlineStr">
        <is>
          <t>Act3 tier per this session's own precedent (order/paragon-tier reuse, not commoner mooks) -- the district's defending captain.</t>
        </is>
      </c>
      <c r="K101" s="17" t="inlineStr">
        <is>
          <t>wpn_axe_high</t>
        </is>
      </c>
    </row>
    <row r="102">
      <c r="A102" s="17" t="inlineStr">
        <is>
          <t>spn_k21_mook</t>
        </is>
      </c>
      <c r="B102" s="17" t="inlineStr">
        <is>
          <t>map_k21</t>
        </is>
      </c>
      <c r="C102" s="17" t="inlineStr">
        <is>
          <t>mook</t>
        </is>
      </c>
      <c r="D102" s="17" t="inlineStr">
        <is>
          <t>ea_hardened_veteran</t>
        </is>
      </c>
      <c r="E102" s="17" t="n">
        <v>12</v>
      </c>
      <c r="F102" s="17" t="n">
        <v>5</v>
      </c>
      <c r="I102" s="17" t="n">
        <v>1</v>
      </c>
      <c r="J102" s="17" t="inlineStr">
        <is>
          <t>See spn_k21_boss.</t>
        </is>
      </c>
    </row>
    <row r="103">
      <c r="A103" s="17" t="inlineStr">
        <is>
          <t>spn_k22_boss</t>
        </is>
      </c>
      <c r="B103" s="17" t="inlineStr">
        <is>
          <t>map_k22</t>
        </is>
      </c>
      <c r="C103" s="17" t="inlineStr">
        <is>
          <t>boss</t>
        </is>
      </c>
      <c r="D103" s="17" t="inlineStr">
        <is>
          <t>ea_warlord</t>
        </is>
      </c>
      <c r="E103" s="17" t="n">
        <v>7</v>
      </c>
      <c r="F103" s="17" t="n">
        <v>13</v>
      </c>
      <c r="I103" s="17" t="n">
        <v>1</v>
      </c>
      <c r="J103" s="17" t="inlineStr">
        <is>
          <t>Paragon-tier capstone for the district's climax, guarding the colossus's base.</t>
        </is>
      </c>
      <c r="K103" s="17" t="inlineStr">
        <is>
          <t>wpn_axe_high</t>
        </is>
      </c>
    </row>
    <row r="104">
      <c r="A104" s="17" t="inlineStr">
        <is>
          <t>spn_k22_mook</t>
        </is>
      </c>
      <c r="B104" s="17" t="inlineStr">
        <is>
          <t>map_k22</t>
        </is>
      </c>
      <c r="C104" s="17" t="inlineStr">
        <is>
          <t>mook</t>
        </is>
      </c>
      <c r="D104" s="17" t="inlineStr">
        <is>
          <t>ea_hardened_veteran</t>
        </is>
      </c>
      <c r="E104" s="17" t="n">
        <v>11</v>
      </c>
      <c r="F104" s="17" t="n">
        <v>13</v>
      </c>
      <c r="I104" s="17" t="n">
        <v>1</v>
      </c>
      <c r="J104" s="17" t="inlineStr">
        <is>
          <t>See spn_k22_boss.</t>
        </is>
      </c>
    </row>
    <row r="105">
      <c r="A105" s="17" t="inlineStr">
        <is>
          <t>spn_ct19_mook1</t>
        </is>
      </c>
      <c r="B105" s="17" t="inlineStr">
        <is>
          <t>map_ct19</t>
        </is>
      </c>
      <c r="C105" s="17" t="inlineStr">
        <is>
          <t>mook</t>
        </is>
      </c>
      <c r="D105" s="17" t="inlineStr">
        <is>
          <t>ea_conscript_levy</t>
        </is>
      </c>
      <c r="E105" s="17" t="n">
        <v>1</v>
      </c>
      <c r="F105" s="17" t="n">
        <v>10</v>
      </c>
      <c r="I105" s="17" t="n">
        <v>1</v>
      </c>
      <c r="J105" s="17" t="inlineStr">
        <is>
          <t>Ashland locals guarding the ash crossing, no boss -- same road-map pattern as ch_p_huma/ch_d09.</t>
        </is>
      </c>
    </row>
    <row r="106">
      <c r="A106" s="17" t="inlineStr">
        <is>
          <t>spn_ct19_mook2</t>
        </is>
      </c>
      <c r="B106" s="17" t="inlineStr">
        <is>
          <t>map_ct19</t>
        </is>
      </c>
      <c r="C106" s="17" t="inlineStr">
        <is>
          <t>mook</t>
        </is>
      </c>
      <c r="D106" s="17" t="inlineStr">
        <is>
          <t>ea_conscript_levy</t>
        </is>
      </c>
      <c r="E106" s="17" t="n">
        <v>6</v>
      </c>
      <c r="F106" s="17" t="n">
        <v>10</v>
      </c>
      <c r="I106" s="17" t="n">
        <v>1</v>
      </c>
      <c r="J106" s="17" t="inlineStr">
        <is>
          <t>See spn_ct19_mook1.</t>
        </is>
      </c>
    </row>
    <row r="107">
      <c r="A107" s="17" t="inlineStr">
        <is>
          <t>spn_tp19_boss</t>
        </is>
      </c>
      <c r="B107" s="17" t="inlineStr">
        <is>
          <t>map_tp19</t>
        </is>
      </c>
      <c r="C107" s="17" t="inlineStr">
        <is>
          <t>boss</t>
        </is>
      </c>
      <c r="D107" s="17" t="inlineStr">
        <is>
          <t>ea_war_captain</t>
        </is>
      </c>
      <c r="E107" s="17" t="n">
        <v>5</v>
      </c>
      <c r="F107" s="17" t="n">
        <v>10</v>
      </c>
      <c r="I107" s="17" t="n">
        <v>1</v>
      </c>
      <c r="J107" s="17" t="inlineStr">
        <is>
          <t>The pass's garrison captain -- 'held by whoever taxes it' reads as an organized force, not bandits.</t>
        </is>
      </c>
      <c r="K107" s="17" t="inlineStr">
        <is>
          <t>wpn_lance_high</t>
        </is>
      </c>
    </row>
    <row r="108">
      <c r="A108" s="17" t="inlineStr">
        <is>
          <t>spn_rf20_boss</t>
        </is>
      </c>
      <c r="B108" s="17" t="inlineStr">
        <is>
          <t>map_rf20</t>
        </is>
      </c>
      <c r="C108" s="17" t="inlineStr">
        <is>
          <t>boss</t>
        </is>
      </c>
      <c r="D108" s="17" t="inlineStr">
        <is>
          <t>ea_war_captain</t>
        </is>
      </c>
      <c r="E108" s="17" t="n">
        <v>7</v>
      </c>
      <c r="F108" s="17" t="n">
        <v>11</v>
      </c>
      <c r="I108" s="17" t="n">
        <v>1</v>
      </c>
      <c r="J108" s="17" t="inlineStr">
        <is>
          <t>A contesting force at the reunion point itself.</t>
        </is>
      </c>
      <c r="K108" s="17" t="inlineStr">
        <is>
          <t>wpn_sword_high</t>
        </is>
      </c>
    </row>
    <row r="109">
      <c r="A109" s="17" t="inlineStr">
        <is>
          <t>spn_rf20_mook1</t>
        </is>
      </c>
      <c r="B109" s="17" t="inlineStr">
        <is>
          <t>map_rf20</t>
        </is>
      </c>
      <c r="C109" s="17" t="inlineStr">
        <is>
          <t>mook</t>
        </is>
      </c>
      <c r="D109" s="17" t="inlineStr">
        <is>
          <t>ea_looter</t>
        </is>
      </c>
      <c r="E109" s="17" t="n">
        <v>3</v>
      </c>
      <c r="F109" s="17" t="n">
        <v>3</v>
      </c>
      <c r="I109" s="17" t="n">
        <v>1</v>
      </c>
      <c r="J109" s="17" t="inlineStr">
        <is>
          <t>Opportunists near one column's own camp.</t>
        </is>
      </c>
    </row>
    <row r="110">
      <c r="A110" s="17" t="inlineStr">
        <is>
          <t>spn_rf20_mook2</t>
        </is>
      </c>
      <c r="B110" s="17" t="inlineStr">
        <is>
          <t>map_rf20</t>
        </is>
      </c>
      <c r="C110" s="17" t="inlineStr">
        <is>
          <t>mook</t>
        </is>
      </c>
      <c r="D110" s="17" t="inlineStr">
        <is>
          <t>ea_looter</t>
        </is>
      </c>
      <c r="E110" s="17" t="n">
        <v>11</v>
      </c>
      <c r="F110" s="17" t="n">
        <v>16</v>
      </c>
      <c r="I110" s="17" t="n">
        <v>1</v>
      </c>
      <c r="J110" s="17" t="inlineStr">
        <is>
          <t>Opportunists near the other column's own camp.</t>
        </is>
      </c>
    </row>
    <row r="111">
      <c r="A111" s="17" t="inlineStr">
        <is>
          <t>spn_tp19_billman</t>
        </is>
      </c>
      <c r="B111" s="17" t="inlineStr">
        <is>
          <t>map_tp19</t>
        </is>
      </c>
      <c r="C111" s="17" t="inlineStr">
        <is>
          <t>mook</t>
        </is>
      </c>
      <c r="D111" s="17" t="inlineStr">
        <is>
          <t>ea_billman</t>
        </is>
      </c>
      <c r="E111" s="17" t="n">
        <v>6</v>
      </c>
      <c r="F111" s="17" t="n">
        <v>10</v>
      </c>
      <c r="I111" s="17" t="n">
        <v>1</v>
      </c>
      <c r="J111" s="17" t="inlineStr">
        <is>
          <t>A halberd line behind the pass's captain -- the pass is 'held by whoever taxes it', and a toll garrison keeps polearm infantry against riders. Drafted 2026-10-02.</t>
        </is>
      </c>
      <c r="K111" s="17" t="inlineStr">
        <is>
          <t>wpn_halberd</t>
        </is>
      </c>
    </row>
    <row r="112">
      <c r="A112" s="17" t="inlineStr">
        <is>
          <t>spn_rf20_billman</t>
        </is>
      </c>
      <c r="B112" s="17" t="inlineStr">
        <is>
          <t>map_rf20</t>
        </is>
      </c>
      <c r="C112" s="17" t="inlineStr">
        <is>
          <t>mook</t>
        </is>
      </c>
      <c r="D112" s="17" t="inlineStr">
        <is>
          <t>ea_billman</t>
        </is>
      </c>
      <c r="E112" s="17" t="n">
        <v>6</v>
      </c>
      <c r="F112" s="17" t="n">
        <v>13</v>
      </c>
      <c r="I112" s="17" t="n">
        <v>1</v>
      </c>
      <c r="J112" s="17" t="inlineStr">
        <is>
          <t>One halberd-bearer with the contesting force at the reunion point; see spn_tp19_billman. Drafted 2026-10-02.</t>
        </is>
      </c>
      <c r="K112" s="17" t="inlineStr">
        <is>
          <t>wpn_halberd</t>
        </is>
      </c>
    </row>
    <row r="113">
      <c r="A113" s="17" t="inlineStr">
        <is>
          <t>NOTE -- draft, review before treating as canon. row/col are grid coordinates in the corresponding map_*.txt file (0-indexed, row0=top). kind: 'boss'/'mook' spawn once at map load; 'den' spawns wave_size new enemy_id units every spawn_interval turns, up to max_waves (null = forever). Positions are placement choices grounded in each map's own text where possible (Boyan on the defend point, Vitomir/the relic hunter den by the reliquary) but the exact tile coordinates themselves are invented, not sourced. Drafted by a Claude Code session, 2026-09-23. ADDENDUM: 12 rows added for map_d01/d03/x11/b15. None of these four maps name a specific antagonist the way map_a02/a03 do -- every row here reuses an existing grounded archetype (ea_looter, ea_conscript_levy, ea_privateer, ea_war_captain) rather than inventing new named characters, per each row's own notes. Drafted by a Claude Code session, 2026-09-23. ADDENDUM 2: 9 rows added for map_d02/a01/d05 -- the last three maps in the maps tab without a scene. All three reuse archetypes whose own first_seen_map_id already points at these exact maps (ea_conscript_levy/d02, ea_looter/a01, ea_privateer/d05), the closest grounding this tab gets short of a named individual. Drafted by a Claude Code session, 2026-09-23. ADDENDUM 3: 17 rows added fleshing out the 6 Act2 skeleton maps (v21/v22/c21/m21/m22/r16) into playable content. All reuse existing archetypes -- none of these six name a specific individual antagonist the way map_a02/a03 do -- per each row's own notes. Drafted by a Claude Code session, 2026-09-23. ADDENDUM 4: 22 rows added fleshing out the 10 Act3/paralogue skeleton maps into playable content. Act3's tougher tier is reflected by reusing ea_war_captain/ea_warlord (the miniboss/boss templates) throughout rather than Act1/2's commoner-tier mooks -- no new archetypes invented, same discipline as every prior addendum. Drafted by a Claude Code session, 2026-09-23. ADDENDUM 5 (2026-10-03): added drop_weapon_id -- the weapon this enemy adds to the player's convoy when defeated, once per spawn_id per playthrough. Drafted: Act 1 non-trivial bosses drop a mid-tier weapon, Act 2+ bosses and the paralogues the high tier, and the two Billmen the halberd (the only way to get an overlap weapon). Nobody in the roster can wield a halberd yet (it needs cls_billman) -- it just waits in the convoy.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16" customWidth="1" style="18" min="1" max="1"/>
    <col width="8" customWidth="1" style="18" min="2" max="2"/>
    <col width="30" customWidth="1" style="18" min="3" max="3"/>
    <col width="14" customWidth="1" style="18" min="4" max="4"/>
    <col width="12" customWidth="1" style="18" min="5" max="5"/>
    <col width="12" customWidth="1" style="18" min="6" max="6"/>
    <col width="12" customWidth="1" style="18" min="7" max="7"/>
    <col width="18" customWidth="1" style="18" min="8" max="8"/>
    <col width="16" customWidth="1" style="18" min="9" max="9"/>
    <col width="90" customWidth="1" style="18" min="10" max="10"/>
  </cols>
  <sheetData>
    <row r="1">
      <c r="A1" s="26" t="inlineStr">
        <is>
          <t>terrain_id</t>
        </is>
      </c>
      <c r="B1" s="26" t="inlineStr">
        <is>
          <t>symbol</t>
        </is>
      </c>
      <c r="C1" s="26" t="inlineStr">
        <is>
          <t>name</t>
        </is>
      </c>
      <c r="D1" s="26" t="inlineStr">
        <is>
          <t>move_infantry</t>
        </is>
      </c>
      <c r="E1" s="26" t="inlineStr">
        <is>
          <t>move_armor</t>
        </is>
      </c>
      <c r="F1" s="26" t="inlineStr">
        <is>
          <t>move_riding</t>
        </is>
      </c>
      <c r="G1" s="26" t="inlineStr">
        <is>
          <t>move_flying</t>
        </is>
      </c>
      <c r="H1" s="26" t="inlineStr">
        <is>
          <t>move_infantry_wet</t>
        </is>
      </c>
      <c r="I1" s="26" t="inlineStr">
        <is>
          <t>move_armor_wet</t>
        </is>
      </c>
      <c r="J1" s="26" t="inlineStr">
        <is>
          <t>hazard_dmg</t>
        </is>
      </c>
      <c r="K1" s="26" t="inlineStr">
        <is>
          <t>notes</t>
        </is>
      </c>
    </row>
    <row r="2">
      <c r="A2" s="17" t="inlineStr">
        <is>
          <t>ter_court</t>
        </is>
      </c>
      <c r="B2" s="17" t="inlineStr">
        <is>
          <t>.</t>
        </is>
      </c>
      <c r="C2" s="17" t="inlineStr">
        <is>
          <t>court</t>
        </is>
      </c>
      <c r="D2" s="17" t="n">
        <v>1</v>
      </c>
      <c r="E2" s="17" t="n">
        <v>1</v>
      </c>
      <c r="F2" s="17" t="n">
        <v>1</v>
      </c>
      <c r="G2" s="17" t="n">
        <v>1</v>
      </c>
      <c r="J2" s="17" t="n">
        <v>0</v>
      </c>
      <c r="K2" s="17" t="inlineStr">
        <is>
          <t>plain open ground; no cost basis stated in docs, defaulted to 1</t>
        </is>
      </c>
    </row>
    <row r="3">
      <c r="A3" s="17" t="inlineStr">
        <is>
          <t>ter_span</t>
        </is>
      </c>
      <c r="B3" s="17" t="inlineStr">
        <is>
          <t>a</t>
        </is>
      </c>
      <c r="C3" s="17" t="inlineStr">
        <is>
          <t>the span, one tile</t>
        </is>
      </c>
      <c r="D3" s="17" t="n">
        <v>1</v>
      </c>
      <c r="E3" s="17" t="n">
        <v>1</v>
      </c>
      <c r="F3" s="17" t="n">
        <v>1</v>
      </c>
      <c r="G3" s="17" t="n">
        <v>1</v>
      </c>
      <c r="J3" s="17" t="n">
        <v>0</v>
      </c>
      <c r="K3" s="17" t="inlineStr">
        <is>
          <t>width-1 chokepoint per Bel-Iddin's note; that's a grid-topology fact, not a cost -- this table only carries cost</t>
        </is>
      </c>
    </row>
    <row r="4">
      <c r="A4" s="17" t="inlineStr">
        <is>
          <t>ter_terrace_high</t>
        </is>
      </c>
      <c r="B4" s="17" t="inlineStr">
        <is>
          <t>T</t>
        </is>
      </c>
      <c r="C4" s="17" t="inlineStr">
        <is>
          <t>high terrace</t>
        </is>
      </c>
      <c r="D4" s="17" t="n">
        <v>1</v>
      </c>
      <c r="E4" s="17" t="n">
        <v>1</v>
      </c>
      <c r="F4" s="17" t="n">
        <v>99</v>
      </c>
      <c r="G4" s="17" t="n">
        <v>1</v>
      </c>
      <c r="H4" s="17" t="n">
        <v>2</v>
      </c>
      <c r="I4" s="17" t="n">
        <v>2</v>
      </c>
      <c r="J4" s="17" t="n">
        <v>0</v>
      </c>
      <c r="K4" s="17" t="inlineStr">
        <is>
          <t>riding impassable per Tasme ('cannot climb the terraces'); +1 wet per map_f00's terrain note ('stepped terraces (+1 cost when wet)'), applied here to infantry/armor -- unclear if a riding-wet cost is even meaningful given riding is already blocked outright</t>
        </is>
      </c>
    </row>
    <row r="5">
      <c r="A5" s="17" t="inlineStr">
        <is>
          <t>ter_wall_face</t>
        </is>
      </c>
      <c r="B5" s="17" t="inlineStr">
        <is>
          <t>x</t>
        </is>
      </c>
      <c r="C5" s="17" t="inlineStr">
        <is>
          <t>wall face / temple (impassable)</t>
        </is>
      </c>
      <c r="D5" s="17" t="n">
        <v>99</v>
      </c>
      <c r="E5" s="17" t="n">
        <v>99</v>
      </c>
      <c r="F5" s="17" t="n">
        <v>99</v>
      </c>
      <c r="G5" s="17" t="n">
        <v>1</v>
      </c>
      <c r="J5" s="17" t="n">
        <v>0</v>
      </c>
      <c r="K5" s="17" t="inlineStr">
        <is>
          <t>labelled impassable in both map_f00.txt and map_f00_reference.png legends; flying=1 is my inference (open air above a retaining wall), not stated outright</t>
        </is>
      </c>
    </row>
    <row r="6">
      <c r="A6" s="17" t="inlineStr">
        <is>
          <t>ter_wall</t>
        </is>
      </c>
      <c r="B6" s="17" t="inlineStr">
        <is>
          <t>W</t>
        </is>
      </c>
      <c r="C6" s="17" t="inlineStr">
        <is>
          <t>the wall (destructible structure)</t>
        </is>
      </c>
      <c r="D6" s="17" t="n">
        <v>99</v>
      </c>
      <c r="E6" s="17" t="n">
        <v>99</v>
      </c>
      <c r="F6" s="17" t="n">
        <v>99</v>
      </c>
      <c r="G6" s="17" t="n">
        <v>1</v>
      </c>
      <c r="J6" s="17" t="n">
        <v>0</v>
      </c>
      <c r="K6" s="17" t="inlineStr">
        <is>
          <t>impassable while standing; Enmet removes it turn 1 (prologue_structures.str_wall). This table has no state machine -- treat as ter_court once destroyed. Needs real structure-state wiring later, not just a static lookup</t>
        </is>
      </c>
    </row>
    <row r="7">
      <c r="A7" s="17" t="inlineStr">
        <is>
          <t>ter_planted</t>
        </is>
      </c>
      <c r="B7" s="17" t="inlineStr">
        <is>
          <t>g</t>
        </is>
      </c>
      <c r="C7" s="17" t="inlineStr">
        <is>
          <t>planted terrace</t>
        </is>
      </c>
      <c r="D7" s="17" t="n">
        <v>2</v>
      </c>
      <c r="E7" s="17" t="n">
        <v>2</v>
      </c>
      <c r="F7" s="17" t="n">
        <v>2</v>
      </c>
      <c r="G7" s="17" t="n">
        <v>1</v>
      </c>
      <c r="J7" s="17" t="n">
        <v>0</v>
      </c>
      <c r="K7" s="17" t="inlineStr">
        <is>
          <t>CALIBRATED (2026-09-25): was cost 1 for everyone, flagged by this table's own trailing note as one of a handful with 'no textual basis anywhere.' Set to 2 for ground types (flying stays 1) -- tilled/furrowed farmland plausibly slows foot and mounted movement, same 'congestion' cost already used for ter_plaza. Checked against the one map that uses this symbol (map_f00, three full-width 'g' bands) with a Dijkstra shortest-path sanity check from deploy to the seize tile: total path cost only rises from 137 to 144 (a unit only ever crosses 3 such bands on the way up), a ~5% change that does not meaningfully alter the map's pacing -- the real cost driver is zigzagging between the barrier rows' narrow gaps, not these bands themselves.</t>
        </is>
      </c>
    </row>
    <row r="8">
      <c r="A8" s="17" t="inlineStr">
        <is>
          <t>ter_stair</t>
        </is>
      </c>
      <c r="B8" s="17" t="inlineStr">
        <is>
          <t>t</t>
        </is>
      </c>
      <c r="C8" s="17" t="inlineStr">
        <is>
          <t>stair</t>
        </is>
      </c>
      <c r="D8" s="17" t="n">
        <v>1</v>
      </c>
      <c r="E8" s="17" t="n">
        <v>1</v>
      </c>
      <c r="F8" s="17" t="n">
        <v>1</v>
      </c>
      <c r="G8" s="17" t="n">
        <v>1</v>
      </c>
      <c r="J8" s="17" t="n">
        <v>0</v>
      </c>
      <c r="K8" s="17" t="inlineStr">
        <is>
          <t>CALIBRATED (2026-09-25): this table's own trailing note flagged this as 'worth deciding if they should be slower or movement-type-restricted.' Tested restricting armor/riding (matching ter_narrow_street/ter_hedgerow's own convention) against the only map that uses this symbol (map_f00) before changing anything -- these 't' columns are the ONLY non-impassable passage through several otherwise fully-'x' barrier rows blocking the court from the statue. Restricting them would strand Bel-Iddin (armor) and Tasme (riding) completely, when Tasme's own established block is specifically 'the terraces' (the separate 'T' symbol higher up), not these stairs -- that would silently break the one hand-crafted map this symbol appears on. Confirmed cost 1 for every movement type is correct as-is, not an unexamined default.</t>
        </is>
      </c>
    </row>
    <row r="9">
      <c r="A9" s="17" t="inlineStr">
        <is>
          <t>ter_statue</t>
        </is>
      </c>
      <c r="B9" s="17" t="inlineStr">
        <is>
          <t>S</t>
        </is>
      </c>
      <c r="C9" s="17" t="inlineStr">
        <is>
          <t>the image / statue (structure)</t>
        </is>
      </c>
      <c r="D9" s="17" t="n">
        <v>99</v>
      </c>
      <c r="E9" s="17" t="n">
        <v>99</v>
      </c>
      <c r="F9" s="17" t="n">
        <v>99</v>
      </c>
      <c r="G9" s="17" t="n">
        <v>1</v>
      </c>
      <c r="J9" s="17" t="n">
        <v>0</v>
      </c>
      <c r="K9" s="17" t="inlineStr">
        <is>
          <t>occupies its tile as a structure, not steppable -- same pattern as ter_wall, see prologue_structures.str_statue</t>
        </is>
      </c>
    </row>
    <row r="10">
      <c r="A10" s="17" t="inlineStr">
        <is>
          <t>ter_seize</t>
        </is>
      </c>
      <c r="B10" s="17" t="inlineStr">
        <is>
          <t>*</t>
        </is>
      </c>
      <c r="C10" s="17" t="inlineStr">
        <is>
          <t>seize (Sargath only)</t>
        </is>
      </c>
      <c r="D10" s="17" t="n">
        <v>1</v>
      </c>
      <c r="E10" s="17" t="n">
        <v>1</v>
      </c>
      <c r="F10" s="17" t="n">
        <v>1</v>
      </c>
      <c r="G10" s="17" t="n">
        <v>1</v>
      </c>
      <c r="J10" s="17" t="n">
        <v>0</v>
      </c>
      <c r="K10" s="17" t="inlineStr">
        <is>
          <t>functionally plain ground; 'Sargath only' is an objective rule (who may seize), not a movement cost -- out of scope here</t>
        </is>
      </c>
    </row>
    <row r="11">
      <c r="A11" s="17" t="inlineStr">
        <is>
          <t>ter_channel</t>
        </is>
      </c>
      <c r="B11" s="17" t="inlineStr">
        <is>
          <t>c</t>
        </is>
      </c>
      <c r="C11" s="17" t="inlineStr">
        <is>
          <t>channel</t>
        </is>
      </c>
      <c r="D11" s="17" t="n">
        <v>99</v>
      </c>
      <c r="E11" s="17" t="n">
        <v>99</v>
      </c>
      <c r="F11" s="17" t="n">
        <v>99</v>
      </c>
      <c r="G11" s="17" t="n">
        <v>1</v>
      </c>
      <c r="J11" s="17" t="n">
        <v>0</v>
      </c>
      <c r="K11" s="17" t="inlineStr">
        <is>
          <t>flying only, per map_f00's own approaches list ('the channels (flying only)'); Sirru's note says water blocks feet but not arrows -- that's an attack-range rule, a separate system, not represented in this table</t>
        </is>
      </c>
    </row>
    <row r="12">
      <c r="A12" s="17" t="inlineStr">
        <is>
          <t>ter_rooftop</t>
        </is>
      </c>
      <c r="B12" s="17" t="inlineStr">
        <is>
          <t>r</t>
        </is>
      </c>
      <c r="C12" s="17" t="inlineStr">
        <is>
          <t>rooftop (map_a02)</t>
        </is>
      </c>
      <c r="D12" s="17" t="n">
        <v>99</v>
      </c>
      <c r="E12" s="17" t="n">
        <v>99</v>
      </c>
      <c r="F12" s="17" t="n">
        <v>99</v>
      </c>
      <c r="G12" s="17" t="n">
        <v>1</v>
      </c>
      <c r="J12" s="17" t="n">
        <v>0</v>
      </c>
      <c r="K12" s="17" t="inlineStr">
        <is>
          <t>flying only, per map_a02's own approaches list ('rooftops (flying)').</t>
        </is>
      </c>
    </row>
    <row r="13">
      <c r="A13" s="17" t="inlineStr">
        <is>
          <t>ter_building</t>
        </is>
      </c>
      <c r="B13" s="17" t="inlineStr">
        <is>
          <t>b</t>
        </is>
      </c>
      <c r="C13" s="17" t="inlineStr">
        <is>
          <t>building (map_a02, impassable)</t>
        </is>
      </c>
      <c r="D13" s="17" t="n">
        <v>99</v>
      </c>
      <c r="E13" s="17" t="n">
        <v>99</v>
      </c>
      <c r="F13" s="17" t="n">
        <v>99</v>
      </c>
      <c r="G13" s="17" t="n">
        <v>99</v>
      </c>
      <c r="J13" s="17" t="n">
        <v>0</v>
      </c>
      <c r="K13" s="17" t="inlineStr">
        <is>
          <t>street-front facades; also blocks flying, unlike f00's wall-face -- these are roofed structures, not a retaining wall's open-air top.</t>
        </is>
      </c>
    </row>
    <row r="14">
      <c r="A14" s="17" t="inlineStr">
        <is>
          <t>ter_wide_street</t>
        </is>
      </c>
      <c r="B14" s="17" t="inlineStr">
        <is>
          <t>d</t>
        </is>
      </c>
      <c r="C14" s="17" t="inlineStr">
        <is>
          <t>wide street (map_a02)</t>
        </is>
      </c>
      <c r="D14" s="17" t="n">
        <v>1</v>
      </c>
      <c r="E14" s="17" t="n">
        <v>1</v>
      </c>
      <c r="F14" s="17" t="n">
        <v>1</v>
      </c>
      <c r="G14" s="17" t="n">
        <v>1</v>
      </c>
      <c r="J14" s="17" t="n">
        <v>0</v>
      </c>
      <c r="K14" s="17" t="inlineStr">
        <is>
          <t>per map_a02's approaches: 'wide street (riding)'. All movement types pay the same cost here -- width, not cost, is what favors riding (no per-map chokepoint-vs-type system exists, same limitation ter_span's note already flags).</t>
        </is>
      </c>
    </row>
    <row r="15">
      <c r="A15" s="17" t="inlineStr">
        <is>
          <t>ter_narrow_street</t>
        </is>
      </c>
      <c r="B15" s="17" t="inlineStr">
        <is>
          <t>s</t>
        </is>
      </c>
      <c r="C15" s="17" t="inlineStr">
        <is>
          <t>narrow street (map_a02)</t>
        </is>
      </c>
      <c r="D15" s="17" t="n">
        <v>1</v>
      </c>
      <c r="E15" s="17" t="n">
        <v>99</v>
      </c>
      <c r="F15" s="17" t="n">
        <v>99</v>
      </c>
      <c r="G15" s="17" t="n">
        <v>1</v>
      </c>
      <c r="J15" s="17" t="n">
        <v>0</v>
      </c>
      <c r="K15" s="17" t="inlineStr">
        <is>
          <t>per map_a02's approaches: 'narrow street (foot)' -- armor/riding blocked outright, same convention as ter_terrace_high blocking riding.</t>
        </is>
      </c>
    </row>
    <row r="16">
      <c r="A16" s="17" t="inlineStr">
        <is>
          <t>ter_plaza</t>
        </is>
      </c>
      <c r="B16" s="17" t="inlineStr">
        <is>
          <t>p</t>
        </is>
      </c>
      <c r="C16" s="17" t="inlineStr">
        <is>
          <t>crowd plaza (map_a02)</t>
        </is>
      </c>
      <c r="D16" s="17" t="n">
        <v>2</v>
      </c>
      <c r="E16" s="17" t="n">
        <v>2</v>
      </c>
      <c r="F16" s="17" t="n">
        <v>2</v>
      </c>
      <c r="G16" s="17" t="n">
        <v>1</v>
      </c>
      <c r="J16" s="17" t="n">
        <v>0</v>
      </c>
      <c r="K16" s="17" t="inlineStr">
        <is>
          <t>map_a02.terrain: 'crowd tiles' -- cost 2 for ground types (congestion), flying unaffected. Where Boyan and the townsfolk stand, and the deploy zone.</t>
        </is>
      </c>
    </row>
    <row r="17">
      <c r="A17" s="17" t="inlineStr">
        <is>
          <t>ter_cloister</t>
        </is>
      </c>
      <c r="B17" s="17" t="inlineStr">
        <is>
          <t>i</t>
        </is>
      </c>
      <c r="C17" s="17" t="inlineStr">
        <is>
          <t>cloister (map_a03)</t>
        </is>
      </c>
      <c r="D17" s="17" t="n">
        <v>1</v>
      </c>
      <c r="E17" s="17" t="n">
        <v>1</v>
      </c>
      <c r="F17" s="17" t="n">
        <v>1</v>
      </c>
      <c r="G17" s="17" t="n">
        <v>99</v>
      </c>
      <c r="J17" s="17" t="n">
        <v>0</v>
      </c>
      <c r="K17" s="17" t="inlineStr">
        <is>
          <t>map_a03's own approaches: 'cloister (indoors, no cold)'. Blocks flying (roofed corridor) -- the tradeoff for being the only cold-safe terrain here.</t>
        </is>
      </c>
    </row>
    <row r="18">
      <c r="A18" s="17" t="inlineStr">
        <is>
          <t>ter_open_ward</t>
        </is>
      </c>
      <c r="B18" s="17" t="inlineStr">
        <is>
          <t>o</t>
        </is>
      </c>
      <c r="C18" s="17" t="inlineStr">
        <is>
          <t>open ward (map_a03)</t>
        </is>
      </c>
      <c r="D18" s="17" t="n">
        <v>1</v>
      </c>
      <c r="E18" s="17" t="n">
        <v>1</v>
      </c>
      <c r="F18" s="17" t="n">
        <v>1</v>
      </c>
      <c r="G18" s="17" t="n">
        <v>1</v>
      </c>
      <c r="J18" s="17" t="n">
        <v>2</v>
      </c>
      <c r="K18" s="17" t="inlineStr">
        <is>
          <t>map_a03's approaches: 'open ward (fast, costly)' -- 'fast' is the cost-1 move, 'costly' is the hazard_dmg. map_a03.terrain: 'cold drains 2 HP/turn outdoors'.</t>
        </is>
      </c>
    </row>
    <row r="19">
      <c r="A19" s="17" t="inlineStr">
        <is>
          <t>ter_rubble</t>
        </is>
      </c>
      <c r="B19" s="17" t="inlineStr">
        <is>
          <t>u</t>
        </is>
      </c>
      <c r="C19" s="17" t="inlineStr">
        <is>
          <t>rubble (map_a03)</t>
        </is>
      </c>
      <c r="D19" s="17" t="n">
        <v>2</v>
      </c>
      <c r="E19" s="17" t="n">
        <v>3</v>
      </c>
      <c r="F19" s="17" t="n">
        <v>3</v>
      </c>
      <c r="G19" s="17" t="n">
        <v>1</v>
      </c>
      <c r="J19" s="17" t="n">
        <v>2</v>
      </c>
      <c r="K19" s="17" t="inlineStr">
        <is>
          <t>ruined-priory debris; armor/riding slowed more than infantry, flying unaffected. Still outdoors -- same 2 HP/turn cold drain as ter_open_ward.</t>
        </is>
      </c>
    </row>
    <row r="20">
      <c r="A20" s="17" t="inlineStr">
        <is>
          <t>ter_reliquary</t>
        </is>
      </c>
      <c r="B20" s="17" t="inlineStr">
        <is>
          <t>R</t>
        </is>
      </c>
      <c r="C20" s="17" t="inlineStr">
        <is>
          <t>reliquary (map_a03, objective)</t>
        </is>
      </c>
      <c r="D20" s="17" t="n">
        <v>1</v>
      </c>
      <c r="E20" s="17" t="n">
        <v>1</v>
      </c>
      <c r="F20" s="17" t="n">
        <v>1</v>
      </c>
      <c r="G20" s="17" t="n">
        <v>1</v>
      </c>
      <c r="J20" s="17" t="n">
        <v>2</v>
      </c>
      <c r="K20" s="17" t="inlineStr">
        <is>
          <t>the 'take-or-give' objective tile itself; costs and hazard match ter_open_ward (it sits in the open ward, not the cloister).</t>
        </is>
      </c>
    </row>
    <row r="21">
      <c r="A21" s="17" t="inlineStr">
        <is>
          <t>ter_defend_point</t>
        </is>
      </c>
      <c r="B21" s="17" t="inlineStr">
        <is>
          <t>D</t>
        </is>
      </c>
      <c r="C21" s="17" t="inlineStr">
        <is>
          <t>defend point (map_a02, objective)</t>
        </is>
      </c>
      <c r="D21" s="17" t="n">
        <v>2</v>
      </c>
      <c r="E21" s="17" t="n">
        <v>2</v>
      </c>
      <c r="F21" s="17" t="n">
        <v>2</v>
      </c>
      <c r="G21" s="17" t="n">
        <v>1</v>
      </c>
      <c r="J21" s="17" t="n">
        <v>0</v>
      </c>
      <c r="K21" s="17" t="inlineStr">
        <is>
          <t>same cost as ter_plaza (it IS a plaza tile) -- distinct symbol only so map logic can find the objective without scanning for a specific coordinate.</t>
        </is>
      </c>
    </row>
    <row r="22">
      <c r="A22" s="17" t="inlineStr">
        <is>
          <t>ter_escape</t>
        </is>
      </c>
      <c r="B22" s="17" t="inlineStr">
        <is>
          <t>E</t>
        </is>
      </c>
      <c r="C22" s="17" t="inlineStr">
        <is>
          <t>escape tile (map_a03, objective)</t>
        </is>
      </c>
      <c r="D22" s="17" t="n">
        <v>1</v>
      </c>
      <c r="E22" s="17" t="n">
        <v>1</v>
      </c>
      <c r="F22" s="17" t="n">
        <v>1</v>
      </c>
      <c r="G22" s="17" t="n">
        <v>99</v>
      </c>
      <c r="J22" s="17" t="n">
        <v>0</v>
      </c>
      <c r="K22" s="17" t="inlineStr">
        <is>
          <t>same cost/hazard as ter_cloister (it's the ring's south-center tile) -- distinct symbol so map logic can find the objective.</t>
        </is>
      </c>
    </row>
    <row r="23">
      <c r="A23" s="17" t="inlineStr">
        <is>
          <t>ter_ford</t>
        </is>
      </c>
      <c r="B23" s="17" t="inlineStr">
        <is>
          <t>F</t>
        </is>
      </c>
      <c r="C23" s="17" t="inlineStr">
        <is>
          <t>ford (map_d03)</t>
        </is>
      </c>
      <c r="D23" s="17" t="n">
        <v>1</v>
      </c>
      <c r="E23" s="17" t="n">
        <v>99</v>
      </c>
      <c r="F23" s="17" t="n">
        <v>99</v>
      </c>
      <c r="G23" s="17" t="n">
        <v>1</v>
      </c>
      <c r="J23" s="17" t="n">
        <v>0</v>
      </c>
      <c r="K23" s="17" t="inlineStr">
        <is>
          <t>per map_d03's own approaches: 'southern ford (foot only)' -- same cost profile as ter_narrow_street, distinct symbol/name since it's a river crossing, not a street.</t>
        </is>
      </c>
    </row>
    <row r="24">
      <c r="A24" s="17" t="inlineStr">
        <is>
          <t>ter_covered_market</t>
        </is>
      </c>
      <c r="B24" s="17" t="inlineStr">
        <is>
          <t>k</t>
        </is>
      </c>
      <c r="C24" s="17" t="inlineStr">
        <is>
          <t>covered arcade / awnings (map_b15)</t>
        </is>
      </c>
      <c r="D24" s="17" t="n">
        <v>1</v>
      </c>
      <c r="E24" s="17" t="n">
        <v>1</v>
      </c>
      <c r="F24" s="17" t="n">
        <v>1</v>
      </c>
      <c r="G24" s="17" t="n">
        <v>99</v>
      </c>
      <c r="J24" s="17" t="n">
        <v>0</v>
      </c>
      <c r="K24" s="17" t="inlineStr">
        <is>
          <t>map_b15.terrain: 'awnings block flight, arcade blocks bows' -- the flight block is modeled (blocks flying like ter_cloister does); the bow-block is an attack-range restriction, not a movement cost, and isn't modeled anywhere yet.</t>
        </is>
      </c>
    </row>
    <row r="25">
      <c r="A25" s="17" t="inlineStr">
        <is>
          <t>ter_hedgerow</t>
        </is>
      </c>
      <c r="B25" s="17" t="inlineStr">
        <is>
          <t>h</t>
        </is>
      </c>
      <c r="C25" s="17" t="inlineStr">
        <is>
          <t>hedgerow (map_d02)</t>
        </is>
      </c>
      <c r="D25" s="17" t="n">
        <v>1</v>
      </c>
      <c r="E25" s="17" t="n">
        <v>1</v>
      </c>
      <c r="F25" s="17" t="n">
        <v>99</v>
      </c>
      <c r="G25" s="17" t="n">
        <v>1</v>
      </c>
      <c r="J25" s="17" t="n">
        <v>0</v>
      </c>
      <c r="K25" s="17" t="inlineStr">
        <is>
          <t>map_d02's own approaches: 'hedgerow foot path' vs 'open road (riding)' -- hedgerows block riding specifically (armor still passes), per the map's own terrain text 'hedgerows block riding.' Distinct from ter_narrow_street, which blocks both armor and riding.</t>
        </is>
      </c>
    </row>
    <row r="26">
      <c r="A26" s="17" t="inlineStr">
        <is>
          <t>ter_miasma</t>
        </is>
      </c>
      <c r="B26" s="17" t="inlineStr">
        <is>
          <t>m</t>
        </is>
      </c>
      <c r="C26" s="17" t="inlineStr">
        <is>
          <t>miasma (map_a01)</t>
        </is>
      </c>
      <c r="D26" s="17" t="n">
        <v>1</v>
      </c>
      <c r="E26" s="17" t="n">
        <v>1</v>
      </c>
      <c r="F26" s="17" t="n">
        <v>1</v>
      </c>
      <c r="G26" s="17" t="n">
        <v>1</v>
      </c>
      <c r="J26" s="17" t="n">
        <v>2</v>
      </c>
      <c r="K26" s="17" t="inlineStr">
        <is>
          <t>map_a01.terrain: 'miasma tiles.' Toxic gas, so hazard applies to flying too (unlike map_a03's cold, this isn't a ground-only effect) -- same 2 HP/turn as ter_open_ward, reused rather than inventing a different number.</t>
        </is>
      </c>
    </row>
    <row r="27">
      <c r="A27" s="17" t="inlineStr">
        <is>
          <t>ter_ice</t>
        </is>
      </c>
      <c r="B27" s="17" t="inlineStr">
        <is>
          <t>n</t>
        </is>
      </c>
      <c r="C27" s="17" t="inlineStr">
        <is>
          <t>ice (map_a01)</t>
        </is>
      </c>
      <c r="D27" s="17" t="n">
        <v>1</v>
      </c>
      <c r="E27" s="17" t="n">
        <v>1</v>
      </c>
      <c r="F27" s="17" t="n">
        <v>1</v>
      </c>
      <c r="G27" s="17" t="n">
        <v>1</v>
      </c>
      <c r="J27" s="17" t="n">
        <v>1</v>
      </c>
      <c r="K27" s="17" t="inlineStr">
        <is>
          <t>map_a01's approaches: 'the ice (risky, fast).' 'Fast' isn't modeled (cost is the same 1 as everything else here, nothing to contrast it against); 'risky' is simplified to a minor 1 HP/turn hazard, a stand-in for a real slip mechanic this pass doesn't build.</t>
        </is>
      </c>
    </row>
    <row r="28">
      <c r="A28" s="17" t="inlineStr">
        <is>
          <t>ter_breach</t>
        </is>
      </c>
      <c r="B28" s="17" t="inlineStr">
        <is>
          <t>v</t>
        </is>
      </c>
      <c r="C28" s="17" t="inlineStr">
        <is>
          <t>breach (a broken wall)</t>
        </is>
      </c>
      <c r="D28" s="17" t="n">
        <v>2</v>
      </c>
      <c r="E28" s="17" t="n">
        <v>3</v>
      </c>
      <c r="F28" s="17" t="n">
        <v>3</v>
      </c>
      <c r="G28" s="17" t="n">
        <v>1</v>
      </c>
      <c r="J28" s="17" t="n">
        <v>0</v>
      </c>
      <c r="K28" s="17" t="inlineStr">
        <is>
          <t>DRAFTED 2026-10-21: what a wall or building becomes once a Sapper has brought it down -- rubble to climb over, slower for armor and riders, nothing to a flier. No hazard.</t>
        </is>
      </c>
    </row>
    <row r="29">
      <c r="A29" s="17" t="inlineStr">
        <is>
          <t>NOTE -- draft, review before treating as canon. 99 = impassable (genre convention: any integer exceeding every unit's move stat). Two real gaps this table exposes rather than solves: (1) prologue_roster has no movement_type column, so nothing can actually look up 'Tasme is riding' to apply these costs yet; (2) ter_wall/ter_statue costs are static but should really key off prologue_structures' HP/destroyed state instead of a fixed lookup. Grounded in map_f00.txt, map_f00_reference.png, maps.terrain for map_f00, and prologue_roster's per-unit notes; g/t/./a/* costs have no textual basis anywhere and are placeholder 1s pending your call. Drafted by a Claude Code session, 2026-09-14. ADDENDUM: hazard_dmg column + 11 new symbols added for map_a02/map_a03 (D and E -- defend point, escape tile -- also added as their own rows, matching whatever base terrain they sit on, since every grid symbol needs a cost/hazard entry or map_grid treats it as impassable). hazard_dmg is flat HP lost for ending a turn on that tile -- only map_a03's outdoor tiles (o/u/R) use it, grounded directly in map_a03's own terrain text ('cold drains 2 HP/turn outdoors'). Drafted by a Claude Code session, 2026-09-23. ADDENDUM 2: ter_ford (map_d03) and ter_covered_market (map_b15) added. d01/x11 reuse entirely existing symbols (./s/b/*/a/c/E) rather than adding new ones -- 'dock frontage'/'warehouse lane'/'muster field'/'river crossing' all matched an existing cost profile closely enough not to warrant a new row. Drafted by a Claude Code session, 2026-09-23. ADDENDUM 3: ter_hedgerow (map_d02), ter_miasma/ter_ice (map_a01) added. map_d05 reuses ter_channel entirely for its open water ('riding impossible, armor sinks' already matches ter_channel's existing cost profile exactly) and ter_span for its gangways -- no new symbols needed there. Drafted by a Claude Code session, 2026-09-23. ADDENDUM 4 (2026-09-25): hazard_dmg calibration pass. Checked every hazard-bearing row's own grounding before testing rather than assuming they were unsourced placeholders like the movement-cost columns were: ter_open_ward/ter_reliquary's hazard=2 is a DIRECT quote (map_a03.terrain: 'cold drains 2 HP/turn outdoors'), ter_rubble's reuses it ('still outdoors' on the same map), and ter_miasma's reuses it too ('rather than inventing a different number') -- only ter_ice's hazard=1 was ever flagged as a genuine approximation ('a stand-in for a real slip mechanic'). Simulated realistic crossing exposure (turn-by-turn shortest-path movement, damage applied only at turn end per _apply_hazard_damage's own real behavior) for an infantry unit across every map that uses a hazard symbol (map_a01/a03/ct19/d09/d10/k22/p_buried_works/p_karkadann): a full crossing costs 0-2 total hazard HP in every case (often just one turn-end tick), 7-12% of typical early-game HP -- felt, not punishing, and on map_d09 the pathfinder found the ford/span route built specifically to avoid the miasma entirely, taking 0 damage, exactly as that map intended. None of the 8 maps using hazard terrain are defend/survive objectives, so sustained multi-turn dwelling (the only way these values could become dangerous) is never structurally forced. No values changed -- both the sourced 2s and ice's approximate 1 (already half of miasma's severity, matching its own 'minor'/'risky' framing relative to miasma's 'toxic gas') held up against real content rather than staying untested assumptions. Drafted by a Claude Code session, 2026-09-25.</t>
        </is>
      </c>
    </row>
  </sheetData>
  <pageMargins left="0.75" right="0.75" top="1" bottom="1" header="0.5" footer="0.5"/>
</worksheet>
</file>

<file path=xl/worksheets/sheet12.xml><?xml version="1.0" encoding="utf-8"?>
<worksheet xmlns="http://schemas.openxmlformats.org/spreadsheetml/2006/main">
  <sheetPr filterMode="0">
    <outlinePr summaryBelow="1" summaryRight="1"/>
    <pageSetUpPr fitToPage="0"/>
  </sheetPr>
  <dimension ref="A1:N5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7" customWidth="1" style="17" min="2" max="2"/>
    <col width="10" customWidth="1" style="17" min="3" max="3"/>
    <col width="9" customWidth="1" style="17" min="4" max="5"/>
    <col width="20" customWidth="1" style="17" min="6" max="6"/>
    <col width="11" customWidth="1" style="17" min="7" max="7"/>
    <col width="12" customWidth="1" style="17" min="8" max="8"/>
    <col width="26" customWidth="1" style="17" min="9" max="9"/>
    <col width="44" customWidth="1" style="17" min="10" max="10"/>
    <col width="16" customWidth="1" style="17" min="11" max="11"/>
    <col width="22" customWidth="1" style="17" min="12" max="12"/>
    <col width="14" customWidth="1" style="18" min="13" max="13"/>
    <col width="14" customWidth="1" style="18" min="14" max="14"/>
  </cols>
  <sheetData>
    <row r="1" ht="30" customHeight="1" s="18">
      <c r="A1" s="21" t="inlineStr">
        <is>
          <t>chapter_id</t>
        </is>
      </c>
      <c r="B1" s="21" t="inlineStr">
        <is>
          <t>act</t>
        </is>
      </c>
      <c r="C1" s="21" t="inlineStr">
        <is>
          <t>route</t>
        </is>
      </c>
      <c r="D1" s="21" t="inlineStr">
        <is>
          <t>column</t>
        </is>
      </c>
      <c r="E1" s="21" t="inlineStr">
        <is>
          <t>number</t>
        </is>
      </c>
      <c r="F1" s="21" t="inlineStr">
        <is>
          <t>title</t>
        </is>
      </c>
      <c r="G1" s="21" t="inlineStr">
        <is>
          <t>map_id</t>
        </is>
      </c>
      <c r="H1" s="21" t="inlineStr">
        <is>
          <t>sect_id</t>
        </is>
      </c>
      <c r="I1" s="21" t="inlineStr">
        <is>
          <t>recruits_unit_ids</t>
        </is>
      </c>
      <c r="J1" s="21" t="inlineStr">
        <is>
          <t>notes</t>
        </is>
      </c>
      <c r="K1" s="21" t="inlineStr">
        <is>
          <t>tonal_register</t>
        </is>
      </c>
      <c r="L1" s="21" t="inlineStr">
        <is>
          <t>teaches_system</t>
        </is>
      </c>
      <c r="M1" s="21" t="inlineStr">
        <is>
          <t>location_id</t>
        </is>
      </c>
      <c r="N1" s="21" t="inlineStr">
        <is>
          <t>unlock_after</t>
        </is>
      </c>
    </row>
    <row r="2" ht="15" customHeight="1" s="18">
      <c r="A2" s="23" t="inlineStr">
        <is>
          <t>ch_d01</t>
        </is>
      </c>
      <c r="B2" s="23" t="inlineStr">
        <is>
          <t>1</t>
        </is>
      </c>
      <c r="C2" s="23" t="inlineStr">
        <is>
          <t>diadem</t>
        </is>
      </c>
      <c r="D2" s="23" t="inlineStr">
        <is>
          <t>unified</t>
        </is>
      </c>
      <c r="E2" s="23" t="n">
        <v>1</v>
      </c>
      <c r="F2" s="23" t="inlineStr">
        <is>
          <t>The tally house</t>
        </is>
      </c>
      <c r="G2" s="23" t="inlineStr">
        <is>
          <t>map_d01</t>
        </is>
      </c>
      <c r="H2" s="23" t="n"/>
      <c r="I2" s="23" t="inlineStr">
        <is>
          <t>u_kheldar</t>
        </is>
      </c>
      <c r="J2" s="23" t="n"/>
      <c r="K2" s="24" t="inlineStr">
        <is>
          <t>cold</t>
        </is>
      </c>
      <c r="L2" s="24" t="inlineStr">
        <is>
          <t>positioning</t>
        </is>
      </c>
      <c r="M2" s="17" t="inlineStr">
        <is>
          <t>loc_tally_house</t>
        </is>
      </c>
      <c r="N2" s="17" t="inlineStr">
        <is>
          <t>ch_f00</t>
        </is>
      </c>
    </row>
    <row r="3" ht="15" customHeight="1" s="18">
      <c r="A3" s="23" t="inlineStr">
        <is>
          <t>ch_d02</t>
        </is>
      </c>
      <c r="B3" s="23" t="inlineStr">
        <is>
          <t>1</t>
        </is>
      </c>
      <c r="C3" s="23" t="inlineStr">
        <is>
          <t>diadem</t>
        </is>
      </c>
      <c r="D3" s="23" t="inlineStr">
        <is>
          <t>unified</t>
        </is>
      </c>
      <c r="E3" s="23" t="n">
        <v>2</v>
      </c>
      <c r="F3" s="23" t="inlineStr">
        <is>
          <t>The weighbridge</t>
        </is>
      </c>
      <c r="G3" s="23" t="inlineStr">
        <is>
          <t>map_d02</t>
        </is>
      </c>
      <c r="H3" s="23" t="n"/>
      <c r="I3" s="23" t="inlineStr">
        <is>
          <t>u_waldrada</t>
        </is>
      </c>
      <c r="J3" s="23" t="n"/>
      <c r="K3" s="24" t="inlineStr">
        <is>
          <t>grim</t>
        </is>
      </c>
      <c r="L3" s="24" t="inlineStr">
        <is>
          <t>green levies</t>
        </is>
      </c>
      <c r="M3" s="17" t="inlineStr">
        <is>
          <t>loc_weighbridge</t>
        </is>
      </c>
      <c r="N3" s="17" t="inlineStr">
        <is>
          <t>ch_d01</t>
        </is>
      </c>
    </row>
    <row r="4" ht="15" customHeight="1" s="18">
      <c r="A4" s="23" t="inlineStr">
        <is>
          <t>ch_d03</t>
        </is>
      </c>
      <c r="B4" s="23" t="inlineStr">
        <is>
          <t>1</t>
        </is>
      </c>
      <c r="C4" s="23" t="inlineStr">
        <is>
          <t>diadem</t>
        </is>
      </c>
      <c r="D4" s="23" t="inlineStr">
        <is>
          <t>unified</t>
        </is>
      </c>
      <c r="E4" s="23" t="n">
        <v>3</v>
      </c>
      <c r="F4" s="23" t="inlineStr">
        <is>
          <t>The grain road</t>
        </is>
      </c>
      <c r="G4" s="23" t="inlineStr">
        <is>
          <t>map_d03</t>
        </is>
      </c>
      <c r="H4" s="23" t="n"/>
      <c r="I4" s="23" t="inlineStr">
        <is>
          <t>u_jost|u_tancred</t>
        </is>
      </c>
      <c r="J4" s="23" t="n"/>
      <c r="K4" s="24" t="inlineStr">
        <is>
          <t>grim</t>
        </is>
      </c>
      <c r="L4" s="24" t="inlineStr">
        <is>
          <t>escort + cargo</t>
        </is>
      </c>
      <c r="M4" s="17" t="inlineStr">
        <is>
          <t>loc_grain_road</t>
        </is>
      </c>
      <c r="N4" s="17" t="inlineStr">
        <is>
          <t>ch_d02</t>
        </is>
      </c>
    </row>
    <row r="5" ht="15" customHeight="1" s="18">
      <c r="A5" s="23" t="inlineStr">
        <is>
          <t>ch_a01</t>
        </is>
      </c>
      <c r="B5" s="23" t="inlineStr">
        <is>
          <t>1</t>
        </is>
      </c>
      <c r="C5" s="23" t="inlineStr">
        <is>
          <t>assembly</t>
        </is>
      </c>
      <c r="D5" s="23" t="inlineStr">
        <is>
          <t>unified</t>
        </is>
      </c>
      <c r="E5" s="23" t="n">
        <v>1</v>
      </c>
      <c r="F5" s="23" t="inlineStr">
        <is>
          <t>The winter dole</t>
        </is>
      </c>
      <c r="G5" s="23" t="inlineStr">
        <is>
          <t>map_a01</t>
        </is>
      </c>
      <c r="H5" s="23" t="n"/>
      <c r="I5" s="23" t="inlineStr">
        <is>
          <t>u_maren|u_brandt</t>
        </is>
      </c>
      <c r="J5" s="23" t="n"/>
      <c r="K5" s="24" t="inlineStr">
        <is>
          <t>warm</t>
        </is>
      </c>
      <c r="L5" s="24" t="inlineStr">
        <is>
          <t>terrain hazard</t>
        </is>
      </c>
      <c r="M5" s="17" t="inlineStr">
        <is>
          <t>loc_vetch_gate</t>
        </is>
      </c>
      <c r="N5" s="17" t="inlineStr">
        <is>
          <t>ch_f00</t>
        </is>
      </c>
    </row>
    <row r="6" ht="15" customHeight="1" s="18">
      <c r="A6" s="23" t="inlineStr">
        <is>
          <t>ch_a02</t>
        </is>
      </c>
      <c r="B6" s="23" t="inlineStr">
        <is>
          <t>1</t>
        </is>
      </c>
      <c r="C6" s="23" t="inlineStr">
        <is>
          <t>assembly</t>
        </is>
      </c>
      <c r="D6" s="23" t="inlineStr">
        <is>
          <t>unified</t>
        </is>
      </c>
      <c r="E6" s="23" t="n">
        <v>2</v>
      </c>
      <c r="F6" s="23" t="inlineStr">
        <is>
          <t>The still night</t>
        </is>
      </c>
      <c r="G6" s="23" t="inlineStr">
        <is>
          <t>map_a02</t>
        </is>
      </c>
      <c r="H6" s="23" t="n"/>
      <c r="I6" s="23" t="inlineStr">
        <is>
          <t>u_solveig|u_gunnar|u_edda</t>
        </is>
      </c>
      <c r="J6" s="23" t="inlineStr">
        <is>
          <t>jailed preacher is an Act 2 hook</t>
        </is>
      </c>
      <c r="K6" s="24" t="inlineStr">
        <is>
          <t>warm</t>
        </is>
      </c>
      <c r="L6" s="24" t="inlineStr">
        <is>
          <t>talk / capture / disperse</t>
        </is>
      </c>
      <c r="M6" s="17" t="inlineStr">
        <is>
          <t>loc_still_town</t>
        </is>
      </c>
      <c r="N6" s="17" t="inlineStr">
        <is>
          <t>ch_a01</t>
        </is>
      </c>
    </row>
    <row r="7" ht="15" customHeight="1" s="18">
      <c r="A7" s="23" t="inlineStr">
        <is>
          <t>ch_a03</t>
        </is>
      </c>
      <c r="B7" s="23" t="inlineStr">
        <is>
          <t>1</t>
        </is>
      </c>
      <c r="C7" s="23" t="inlineStr">
        <is>
          <t>assembly</t>
        </is>
      </c>
      <c r="D7" s="23" t="inlineStr">
        <is>
          <t>unified</t>
        </is>
      </c>
      <c r="E7" s="23" t="n">
        <v>3</v>
      </c>
      <c r="F7" s="23" t="inlineStr">
        <is>
          <t>The chapterhouse</t>
        </is>
      </c>
      <c r="G7" s="23" t="inlineStr">
        <is>
          <t>map_a03</t>
        </is>
      </c>
      <c r="H7" s="23" t="n"/>
      <c r="I7" s="23" t="inlineStr">
        <is>
          <t>u_anselm</t>
        </is>
      </c>
      <c r="J7" s="23" t="inlineStr">
        <is>
          <t>Torvald force-deployed</t>
        </is>
      </c>
      <c r="K7" s="24" t="inlineStr">
        <is>
          <t>desolate</t>
        </is>
      </c>
      <c r="L7" s="24" t="inlineStr">
        <is>
          <t>reinforcement pressure</t>
        </is>
      </c>
      <c r="M7" s="17" t="inlineStr">
        <is>
          <t>loc_chapterhouse</t>
        </is>
      </c>
      <c r="N7" s="17" t="inlineStr">
        <is>
          <t>ch_a02</t>
        </is>
      </c>
    </row>
    <row r="8" ht="23.25" customHeight="1" s="18">
      <c r="A8" s="23" t="inlineStr">
        <is>
          <t>ch_x11</t>
        </is>
      </c>
      <c r="B8" s="23" t="inlineStr">
        <is>
          <t>2</t>
        </is>
      </c>
      <c r="C8" s="23" t="inlineStr">
        <is>
          <t>both</t>
        </is>
      </c>
      <c r="D8" s="23" t="inlineStr">
        <is>
          <t>unified</t>
        </is>
      </c>
      <c r="E8" s="23" t="n">
        <v>11</v>
      </c>
      <c r="F8" s="23" t="inlineStr">
        <is>
          <t>The Second Writ</t>
        </is>
      </c>
      <c r="G8" s="23" t="inlineStr">
        <is>
          <t>map_x11</t>
        </is>
      </c>
      <c r="H8" s="23" t="n"/>
      <c r="I8" s="23" t="n"/>
      <c r="J8" s="23" t="inlineStr">
        <is>
          <t>commission split; surveyor revealed as auditor; deputy named off the epithet ledger</t>
        </is>
      </c>
      <c r="K8" s="24" t="inlineStr">
        <is>
          <t>triumphal</t>
        </is>
      </c>
      <c r="L8" s="24" t="inlineStr">
        <is>
          <t>the commission split</t>
        </is>
      </c>
      <c r="M8" s="17" t="inlineStr">
        <is>
          <t>loc_muster_field</t>
        </is>
      </c>
      <c r="N8" s="17" t="inlineStr">
        <is>
          <t>ch_d10|ch_a10</t>
        </is>
      </c>
    </row>
    <row r="9" ht="15" customHeight="1" s="18">
      <c r="A9" s="23" t="inlineStr">
        <is>
          <t>ch_b15</t>
        </is>
      </c>
      <c r="B9" s="23" t="inlineStr">
        <is>
          <t>2</t>
        </is>
      </c>
      <c r="C9" s="23" t="inlineStr">
        <is>
          <t>both</t>
        </is>
      </c>
      <c r="D9" s="23" t="inlineStr">
        <is>
          <t>B</t>
        </is>
      </c>
      <c r="E9" s="23" t="n">
        <v>15</v>
      </c>
      <c r="F9" s="23" t="inlineStr">
        <is>
          <t>The going rate</t>
        </is>
      </c>
      <c r="G9" s="23" t="inlineStr">
        <is>
          <t>map_b15</t>
        </is>
      </c>
      <c r="H9" s="23" t="inlineStr">
        <is>
          <t>sect_road</t>
        </is>
      </c>
      <c r="I9" s="23" t="n"/>
      <c r="J9" s="23" t="inlineStr">
        <is>
          <t>diadem buys grain, assembly buys medicine</t>
        </is>
      </c>
      <c r="K9" s="24" t="inlineStr">
        <is>
          <t>warm</t>
        </is>
      </c>
      <c r="L9" s="24" t="inlineStr">
        <is>
          <t>purchase objective</t>
        </is>
      </c>
      <c r="M9" s="17" t="inlineStr">
        <is>
          <t>loc_caravanserai</t>
        </is>
      </c>
      <c r="N9" s="17" t="inlineStr">
        <is>
          <t>ch_c21</t>
        </is>
      </c>
    </row>
    <row r="10" ht="23.25" customHeight="1" s="18">
      <c r="A10" s="23" t="inlineStr">
        <is>
          <t>ch_d05</t>
        </is>
      </c>
      <c r="B10" s="23" t="inlineStr">
        <is>
          <t>1</t>
        </is>
      </c>
      <c r="C10" s="23" t="inlineStr">
        <is>
          <t>diadem</t>
        </is>
      </c>
      <c r="D10" s="23" t="inlineStr">
        <is>
          <t>unified</t>
        </is>
      </c>
      <c r="E10" s="23" t="n">
        <v>5</v>
      </c>
      <c r="F10" s="23" t="inlineStr">
        <is>
          <t>The grain fleet</t>
        </is>
      </c>
      <c r="G10" s="23" t="inlineStr">
        <is>
          <t>map_d05</t>
        </is>
      </c>
      <c r="H10" s="23" t="n"/>
      <c r="I10" s="23" t="n"/>
      <c r="J10" s="23" t="inlineStr">
        <is>
          <t>voyage to the Green Ports; the Diadem is the sea power and this is where that shows</t>
        </is>
      </c>
      <c r="K10" s="23" t="inlineStr">
        <is>
          <t>wondrous</t>
        </is>
      </c>
      <c r="L10" s="23" t="inlineStr">
        <is>
          <t>boarding / grapple-dens</t>
        </is>
      </c>
      <c r="M10" s="17" t="inlineStr">
        <is>
          <t>loc_salt_ford</t>
        </is>
      </c>
      <c r="N10" s="17" t="inlineStr">
        <is>
          <t>ch_d04</t>
        </is>
      </c>
    </row>
    <row r="11" ht="15" customHeight="1" s="18">
      <c r="A11" s="23" t="inlineStr">
        <is>
          <t>ch_f00</t>
        </is>
      </c>
      <c r="B11" s="23" t="inlineStr">
        <is>
          <t>prologue</t>
        </is>
      </c>
      <c r="C11" s="23" t="inlineStr">
        <is>
          <t>both</t>
        </is>
      </c>
      <c r="D11" s="23" t="inlineStr">
        <is>
          <t>unified</t>
        </is>
      </c>
      <c r="E11" s="23" t="n">
        <v>0</v>
      </c>
      <c r="F11" s="23" t="inlineStr">
        <is>
          <t>Ur-Nashet, the last night</t>
        </is>
      </c>
      <c r="G11" s="23" t="inlineStr">
        <is>
          <t>map_f00</t>
        </is>
      </c>
      <c r="H11" s="23" t="n"/>
      <c r="I11" s="23" t="n"/>
      <c r="J11" s="23" t="inlineStr">
        <is>
          <t>800 years early, in a city that no longer exists. The player performs the founding crime before knowing it is one.</t>
        </is>
      </c>
      <c r="K11" s="23" t="inlineStr">
        <is>
          <t>wondrous</t>
        </is>
      </c>
      <c r="L11" s="23" t="inlineStr">
        <is>
          <t>movement, terrain cost, weapon triangle</t>
        </is>
      </c>
      <c r="M11" s="17" t="inlineStr">
        <is>
          <t>loc_ur_nashet</t>
        </is>
      </c>
    </row>
    <row r="12">
      <c r="A12" s="23" t="inlineStr">
        <is>
          <t>ch_v21</t>
        </is>
      </c>
      <c r="B12" s="23" t="inlineStr">
        <is>
          <t>2</t>
        </is>
      </c>
      <c r="C12" s="23" t="inlineStr">
        <is>
          <t>diadem</t>
        </is>
      </c>
      <c r="D12" s="23" t="inlineStr">
        <is>
          <t>unified</t>
        </is>
      </c>
      <c r="E12" s="23" t="n">
        <v>12</v>
      </c>
      <c r="F12" s="23" t="inlineStr">
        <is>
          <t>The Unstained Seat</t>
        </is>
      </c>
      <c r="G12" s="23" t="inlineStr">
        <is>
          <t>map_v21</t>
        </is>
      </c>
      <c r="H12" s="23" t="inlineStr">
        <is>
          <t>sect_vashti</t>
        </is>
      </c>
      <c r="I12" s="23" t="n"/>
      <c r="J12" s="23" t="inlineStr">
        <is>
          <t>sect_vashti's own notes: 'no talk conversations available on their seat map' -- combat only, no dialogue resolution, grounded directly in that line. Seat is 'Vashti, in the Ashland' per sects.sect_vashti.seat.</t>
        </is>
      </c>
      <c r="K12" s="24" t="inlineStr">
        <is>
          <t>grim</t>
        </is>
      </c>
      <c r="L12" s="24" t="inlineStr">
        <is>
          <t>no-talk chapters</t>
        </is>
      </c>
      <c r="M12" s="17" t="inlineStr">
        <is>
          <t>loc_vashti_gate</t>
        </is>
      </c>
      <c r="N12" s="17" t="inlineStr">
        <is>
          <t>ch_x11</t>
        </is>
      </c>
    </row>
    <row r="13">
      <c r="A13" s="23" t="inlineStr">
        <is>
          <t>ch_v22</t>
        </is>
      </c>
      <c r="B13" s="23" t="inlineStr">
        <is>
          <t>2</t>
        </is>
      </c>
      <c r="C13" s="23" t="inlineStr">
        <is>
          <t>diadem</t>
        </is>
      </c>
      <c r="D13" s="23" t="inlineStr">
        <is>
          <t>unified</t>
        </is>
      </c>
      <c r="E13" s="23" t="n">
        <v>13</v>
      </c>
      <c r="F13" s="23" t="inlineStr">
        <is>
          <t>Re-Made Clean</t>
        </is>
      </c>
      <c r="G13" s="23" t="inlineStr">
        <is>
          <t>map_v22</t>
        </is>
      </c>
      <c r="H13" s="23" t="inlineStr">
        <is>
          <t>sect_vashti</t>
        </is>
      </c>
      <c r="I13" s="23" t="n"/>
      <c r="J13" s="23" t="inlineStr">
        <is>
          <t>sect_vashti's doctrine: 'sacraments from complicit hands are void; the veneration must be re-made clean' -- a re-consecration under threat, hence a defend shape.</t>
        </is>
      </c>
      <c r="K13" s="24" t="inlineStr">
        <is>
          <t>solemn</t>
        </is>
      </c>
      <c r="L13" s="24" t="inlineStr">
        <is>
          <t>ritual defense</t>
        </is>
      </c>
      <c r="M13" s="17" t="inlineStr">
        <is>
          <t>loc_vashti_gate</t>
        </is>
      </c>
      <c r="N13" s="17" t="inlineStr">
        <is>
          <t>ch_v21</t>
        </is>
      </c>
    </row>
    <row r="14">
      <c r="A14" s="23" t="inlineStr">
        <is>
          <t>ch_c21</t>
        </is>
      </c>
      <c r="B14" s="23" t="inlineStr">
        <is>
          <t>2</t>
        </is>
      </c>
      <c r="C14" s="23" t="inlineStr">
        <is>
          <t>both</t>
        </is>
      </c>
      <c r="D14" s="23" t="inlineStr">
        <is>
          <t>unified</t>
        </is>
      </c>
      <c r="E14" s="23" t="n">
        <v>14</v>
      </c>
      <c r="F14" s="23" t="inlineStr">
        <is>
          <t>The Vetch Reunion</t>
        </is>
      </c>
      <c r="G14" s="23" t="inlineStr">
        <is>
          <t>map_c21</t>
        </is>
      </c>
      <c r="H14" s="23" t="inlineStr">
        <is>
          <t>sect_court</t>
        </is>
      </c>
      <c r="I14" s="23" t="n"/>
      <c r="J14" s="23" t="inlineStr">
        <is>
          <t>sect_court's own notes: 'grows the Grand Inquisitor; home-front thread, ambushes at reunion' -- taken directly. Vetch is sect_court's alternate seat name.</t>
        </is>
      </c>
      <c r="K14" s="24" t="inlineStr">
        <is>
          <t>tense</t>
        </is>
      </c>
      <c r="L14" s="24" t="inlineStr">
        <is>
          <t>home-front ambush</t>
        </is>
      </c>
      <c r="M14" s="17" t="inlineStr">
        <is>
          <t>loc_vetch_chapel</t>
        </is>
      </c>
      <c r="N14" s="17" t="inlineStr">
        <is>
          <t>ch_v22|ch_m22</t>
        </is>
      </c>
    </row>
    <row r="15">
      <c r="A15" s="23" t="inlineStr">
        <is>
          <t>ch_m21</t>
        </is>
      </c>
      <c r="B15" s="23" t="inlineStr">
        <is>
          <t>2</t>
        </is>
      </c>
      <c r="C15" s="23" t="inlineStr">
        <is>
          <t>assembly</t>
        </is>
      </c>
      <c r="D15" s="23" t="inlineStr">
        <is>
          <t>unified</t>
        </is>
      </c>
      <c r="E15" s="23" t="n">
        <v>16</v>
      </c>
      <c r="F15" s="23" t="inlineStr">
        <is>
          <t>The Drowned March</t>
        </is>
      </c>
      <c r="G15" s="23" t="inlineStr">
        <is>
          <t>map_m21</t>
        </is>
      </c>
      <c r="H15" s="23" t="inlineStr">
        <is>
          <t>sect_march</t>
        </is>
      </c>
      <c r="I15" s="23" t="n"/>
      <c r="J15" s="23" t="inlineStr">
        <is>
          <t>Chapter title is sect_march's own seat name verbatim ('the Drowned March'). Doctrine notes: 'new scripture is still arriving, dictated, in progress -- chapters can be added between the player's Act 2 visits' and 'Prophecy NPCs convert green levies' -- the latter reuses the same conversion mechanic already flagged as unmodeled at map_a02/map_b15, not a new system.</t>
        </is>
      </c>
      <c r="K15" s="24" t="inlineStr">
        <is>
          <t>eerie</t>
        </is>
      </c>
      <c r="L15" s="24" t="inlineStr">
        <is>
          <t>ongoing prophecy pressure</t>
        </is>
      </c>
      <c r="M15" s="17" t="inlineStr">
        <is>
          <t>loc_lake_shore</t>
        </is>
      </c>
      <c r="N15" s="17" t="inlineStr">
        <is>
          <t>ch_x11</t>
        </is>
      </c>
    </row>
    <row r="16">
      <c r="A16" s="23" t="inlineStr">
        <is>
          <t>ch_m22</t>
        </is>
      </c>
      <c r="B16" s="23" t="inlineStr">
        <is>
          <t>2</t>
        </is>
      </c>
      <c r="C16" s="23" t="inlineStr">
        <is>
          <t>assembly</t>
        </is>
      </c>
      <c r="D16" s="23" t="inlineStr">
        <is>
          <t>unified</t>
        </is>
      </c>
      <c r="E16" s="23" t="n">
        <v>17</v>
      </c>
      <c r="F16" s="23" t="inlineStr">
        <is>
          <t>The Same Archive</t>
        </is>
      </c>
      <c r="G16" s="23" t="inlineStr">
        <is>
          <t>map_m22</t>
        </is>
      </c>
      <c r="H16" s="23" t="inlineStr">
        <is>
          <t>sect_march</t>
        </is>
      </c>
      <c r="I16" s="23" t="n"/>
      <c r="J16" s="23" t="inlineStr">
        <is>
          <t>sect_march's notes: 'rebaptising the dead by name off the parish lists... puts the prophets and the crown's clerks in the same archive for opposite reasons' -- taken directly, a defend-the-archive shape.</t>
        </is>
      </c>
      <c r="K16" s="24" t="inlineStr">
        <is>
          <t>uneasy</t>
        </is>
      </c>
      <c r="L16" s="24" t="inlineStr">
        <is>
          <t>archive standoff</t>
        </is>
      </c>
      <c r="M16" s="17" t="inlineStr">
        <is>
          <t>loc_march_shrine</t>
        </is>
      </c>
      <c r="N16" s="17" t="inlineStr">
        <is>
          <t>ch_m21</t>
        </is>
      </c>
    </row>
    <row r="17">
      <c r="A17" s="23" t="inlineStr">
        <is>
          <t>ch_r16</t>
        </is>
      </c>
      <c r="B17" s="23" t="inlineStr">
        <is>
          <t>2</t>
        </is>
      </c>
      <c r="C17" s="23" t="inlineStr">
        <is>
          <t>both</t>
        </is>
      </c>
      <c r="D17" s="23" t="inlineStr">
        <is>
          <t>unified</t>
        </is>
      </c>
      <c r="E17" s="23" t="n">
        <v>18</v>
      </c>
      <c r="F17" s="23" t="inlineStr">
        <is>
          <t>The Toll League</t>
        </is>
      </c>
      <c r="G17" s="23" t="inlineStr">
        <is>
          <t>map_r16</t>
        </is>
      </c>
      <c r="H17" s="23" t="inlineStr">
        <is>
          <t>sect_road</t>
        </is>
      </c>
      <c r="I17" s="23" t="n"/>
      <c r="J17" s="23" t="inlineStr">
        <is>
          <t>sect_road's own sovereign seat ('the Toll League'). Doctrine: 'redemption is a purchase word -- to redeem is to buy back' -- reuses the same 'purchase' objective_verb map_b15 already established for this sect, rather than inventing a different one for their second chapter.</t>
        </is>
      </c>
      <c r="K17" s="24" t="inlineStr">
        <is>
          <t>warm</t>
        </is>
      </c>
      <c r="L17" s="24" t="inlineStr">
        <is>
          <t>redemption-as-purchase</t>
        </is>
      </c>
      <c r="M17" s="17" t="inlineStr">
        <is>
          <t>loc_caravanserai</t>
        </is>
      </c>
      <c r="N17" s="17" t="inlineStr">
        <is>
          <t>ch_b15</t>
        </is>
      </c>
    </row>
    <row r="18">
      <c r="A18" s="23" t="inlineStr">
        <is>
          <t>ch_e31</t>
        </is>
      </c>
      <c r="B18" s="23" t="inlineStr">
        <is>
          <t>3</t>
        </is>
      </c>
      <c r="C18" s="23" t="inlineStr">
        <is>
          <t>both</t>
        </is>
      </c>
      <c r="D18" s="23" t="inlineStr">
        <is>
          <t>unified</t>
        </is>
      </c>
      <c r="E18" s="23" t="n">
        <v>31</v>
      </c>
      <c r="F18" s="23" t="inlineStr">
        <is>
          <t>The Ledger Comes Due</t>
        </is>
      </c>
      <c r="G18" s="23" t="inlineStr">
        <is>
          <t>map_e31</t>
        </is>
      </c>
      <c r="H18" s="23" t="inlineStr">
        <is>
          <t>sect_road</t>
        </is>
      </c>
      <c r="I18" s="23" t="n"/>
      <c r="J18" s="23" t="inlineStr">
        <is>
          <t>Buildup chapter for the Enlightened One fork -- ties to ascension_signals (sig_forge_use, sig_defection_handling, etc.), the hidden telemetry that later decides end_sanctified vs. end_perverse. Doesn't resolve which way it tips; that's runtime state, not authored here.</t>
        </is>
      </c>
      <c r="K18" s="24" t="inlineStr">
        <is>
          <t>tense</t>
        </is>
      </c>
      <c r="L18" s="24" t="inlineStr">
        <is>
          <t>consequences accumulate</t>
        </is>
      </c>
      <c r="M18" s="17" t="inlineStr">
        <is>
          <t>loc_caravanserai</t>
        </is>
      </c>
      <c r="N18" s="17" t="inlineStr">
        <is>
          <t>ch_k22</t>
        </is>
      </c>
    </row>
    <row r="19">
      <c r="A19" s="23" t="inlineStr">
        <is>
          <t>ch_e32_sanctified</t>
        </is>
      </c>
      <c r="B19" s="23" t="inlineStr">
        <is>
          <t>3</t>
        </is>
      </c>
      <c r="C19" s="23" t="inlineStr">
        <is>
          <t>both</t>
        </is>
      </c>
      <c r="D19" s="23" t="inlineStr">
        <is>
          <t>unified</t>
        </is>
      </c>
      <c r="E19" s="23" t="n">
        <v>32</v>
      </c>
      <c r="F19" s="23" t="inlineStr">
        <is>
          <t>Sanctification</t>
        </is>
      </c>
      <c r="G19" s="23" t="inlineStr">
        <is>
          <t>map_e32_sanctified</t>
        </is>
      </c>
      <c r="H19" s="23" t="inlineStr">
        <is>
          <t>sect_road</t>
        </is>
      </c>
      <c r="I19" s="23" t="n"/>
      <c r="J19" s="23" t="inlineStr">
        <is>
          <t>end_sanctified terminal (endings tab, trigger: hidden telemetry threshold MET). Per that row: 'NOT a boss fight against him. The party fights the deposed patrons of the Hundred Cities -- the full Lesser Key roster... as they resist being absorbed.' Mutually exclusive with ch_e32_perverse -- same slot (act 3, number 32), only one fires per playthrough.</t>
        </is>
      </c>
      <c r="K19" s="24" t="inlineStr">
        <is>
          <t>ambivalent</t>
        </is>
      </c>
      <c r="L19" s="24" t="inlineStr">
        <is>
          <t>the good ending still costs something</t>
        </is>
      </c>
      <c r="M19" s="17" t="inlineStr">
        <is>
          <t>loc_caravanserai</t>
        </is>
      </c>
      <c r="N19" s="17" t="inlineStr">
        <is>
          <t>ch_e31</t>
        </is>
      </c>
    </row>
    <row r="20">
      <c r="A20" s="23" t="inlineStr">
        <is>
          <t>ch_e32_perverse</t>
        </is>
      </c>
      <c r="B20" s="23" t="inlineStr">
        <is>
          <t>3</t>
        </is>
      </c>
      <c r="C20" s="23" t="inlineStr">
        <is>
          <t>both</t>
        </is>
      </c>
      <c r="D20" s="23" t="inlineStr">
        <is>
          <t>unified</t>
        </is>
      </c>
      <c r="E20" s="23" t="n">
        <v>32</v>
      </c>
      <c r="F20" s="23" t="inlineStr">
        <is>
          <t>The Idol</t>
        </is>
      </c>
      <c r="G20" s="23" t="inlineStr">
        <is>
          <t>map_e32_perverse</t>
        </is>
      </c>
      <c r="H20" s="23" t="inlineStr">
        <is>
          <t>sect_road</t>
        </is>
      </c>
      <c r="I20" s="23" t="n"/>
      <c r="J20" s="23" t="inlineStr">
        <is>
          <t>end_perverse terminal (endings tab, trigger: hidden telemetry threshold NOT met). Per that row: 'the party fights HIM directly. VISUAL CONVERGENCE WITH THE IDOL, deliberate.' Mutually exclusive with ch_e32_sanctified -- same slot, only one fires per playthrough.</t>
        </is>
      </c>
      <c r="K20" s="24" t="inlineStr">
        <is>
          <t>grim</t>
        </is>
      </c>
      <c r="L20" s="24" t="inlineStr">
        <is>
          <t>false godhood, assembled not born</t>
        </is>
      </c>
      <c r="M20" s="17" t="inlineStr">
        <is>
          <t>loc_caravanserai</t>
        </is>
      </c>
      <c r="N20" s="17" t="inlineStr">
        <is>
          <t>ch_e31</t>
        </is>
      </c>
    </row>
    <row r="21">
      <c r="A21" s="23" t="inlineStr">
        <is>
          <t>ch_h31</t>
        </is>
      </c>
      <c r="B21" s="23" t="inlineStr">
        <is>
          <t>3</t>
        </is>
      </c>
      <c r="C21" s="23" t="inlineStr">
        <is>
          <t>both</t>
        </is>
      </c>
      <c r="D21" s="23" t="inlineStr">
        <is>
          <t>unified</t>
        </is>
      </c>
      <c r="E21" s="23" t="n">
        <v>31</v>
      </c>
      <c r="F21" s="23" t="inlineStr">
        <is>
          <t>The Capture</t>
        </is>
      </c>
      <c r="G21" s="23" t="inlineStr">
        <is>
          <t>map_h31</t>
        </is>
      </c>
      <c r="H21" s="23" t="inlineStr">
        <is>
          <t>sect_march</t>
        </is>
      </c>
      <c r="I21" s="23" t="n"/>
      <c r="J21" s="23" t="inlineStr">
        <is>
          <t>end_hierophant's shared lead-up (endings tab): 'the defense scenario ends in capture, not a kill.' sect_id resolved to sect_march (RESOLVED 2026-09-23, see the_hierophant tab).</t>
        </is>
      </c>
      <c r="K21" s="24" t="inlineStr">
        <is>
          <t>grim</t>
        </is>
      </c>
      <c r="L21" s="24" t="inlineStr">
        <is>
          <t>conquest, not villainy</t>
        </is>
      </c>
      <c r="M21" s="17" t="inlineStr">
        <is>
          <t>loc_march_shrine</t>
        </is>
      </c>
      <c r="N21" s="17" t="inlineStr">
        <is>
          <t>ch_k22</t>
        </is>
      </c>
    </row>
    <row r="22">
      <c r="A22" s="23" t="inlineStr">
        <is>
          <t>ch_h32</t>
        </is>
      </c>
      <c r="B22" s="23" t="inlineStr">
        <is>
          <t>3</t>
        </is>
      </c>
      <c r="C22" s="23" t="inlineStr">
        <is>
          <t>both</t>
        </is>
      </c>
      <c r="D22" s="23" t="inlineStr">
        <is>
          <t>unified</t>
        </is>
      </c>
      <c r="E22" s="23" t="n">
        <v>32</v>
      </c>
      <c r="F22" s="23" t="inlineStr">
        <is>
          <t>The Kaisareia Trial</t>
        </is>
      </c>
      <c r="G22" s="23" t="n"/>
      <c r="H22" s="23" t="inlineStr">
        <is>
          <t>sect_march</t>
        </is>
      </c>
      <c r="I22" s="23" t="n"/>
      <c r="J22" s="23" t="inlineStr">
        <is>
          <t>Deliberately NO MAP -- endings.end_hierophant is explicit that this is processed through the same systemic machine as everything else ('the same machine that produces deputies off the epithet ledger now processes the largest moral choice in the game, not a special cutscene outside the system'), not a battle. Forks into ch_h33_mercy or the ch_h34_war_* chapters depending on the player's sentence recommendation. sect_id resolved to sect_march, see ch_h31 and the_hierophant tab.</t>
        </is>
      </c>
      <c r="K22" s="24" t="inlineStr">
        <is>
          <t>solemn</t>
        </is>
      </c>
      <c r="L22" s="24" t="inlineStr">
        <is>
          <t>the trial IS the system</t>
        </is>
      </c>
      <c r="M22" s="17" t="inlineStr">
        <is>
          <t>loc_kaisareia_walls</t>
        </is>
      </c>
      <c r="N22" s="17" t="inlineStr">
        <is>
          <t>ch_h31</t>
        </is>
      </c>
    </row>
    <row r="23">
      <c r="A23" s="23" t="inlineStr">
        <is>
          <t>ch_h33_mercy</t>
        </is>
      </c>
      <c r="B23" s="23" t="inlineStr">
        <is>
          <t>3</t>
        </is>
      </c>
      <c r="C23" s="23" t="inlineStr">
        <is>
          <t>both</t>
        </is>
      </c>
      <c r="D23" s="23" t="inlineStr">
        <is>
          <t>unified</t>
        </is>
      </c>
      <c r="E23" s="23" t="n">
        <v>33</v>
      </c>
      <c r="F23" s="23" t="inlineStr">
        <is>
          <t>Subterfuge</t>
        </is>
      </c>
      <c r="G23" s="23" t="inlineStr">
        <is>
          <t>map_h33_mercy</t>
        </is>
      </c>
      <c r="H23" s="23" t="inlineStr">
        <is>
          <t>sect_march</t>
        </is>
      </c>
      <c r="I23" s="23" t="n"/>
      <c r="J23" s="23" t="inlineStr">
        <is>
          <t>end_hierophant_mercy terminal: 'the movement goes underground and finishes what got interrupted -- A SECOND, LATER BATTLE... deliberately convergent iconography with end_perverse and the Idol.' sect_id resolved to sect_march, see ch_h31 and the_hierophant tab.</t>
        </is>
      </c>
      <c r="K23" s="24" t="inlineStr">
        <is>
          <t>uneasy</t>
        </is>
      </c>
      <c r="L23" s="24" t="inlineStr">
        <is>
          <t>mercy has a bill too</t>
        </is>
      </c>
      <c r="M23" s="17" t="inlineStr">
        <is>
          <t>loc_kaisareia_walls</t>
        </is>
      </c>
      <c r="N23" s="17" t="inlineStr">
        <is>
          <t>ch_h32</t>
        </is>
      </c>
    </row>
    <row r="24">
      <c r="A24" s="23" t="inlineStr">
        <is>
          <t>ch_h34_war1</t>
        </is>
      </c>
      <c r="B24" s="23" t="inlineStr">
        <is>
          <t>3</t>
        </is>
      </c>
      <c r="C24" s="23" t="inlineStr">
        <is>
          <t>both</t>
        </is>
      </c>
      <c r="D24" s="23" t="inlineStr">
        <is>
          <t>unified</t>
        </is>
      </c>
      <c r="E24" s="23" t="n">
        <v>34</v>
      </c>
      <c r="F24" s="23" t="inlineStr">
        <is>
          <t>The War: First Front</t>
        </is>
      </c>
      <c r="G24" s="23" t="inlineStr">
        <is>
          <t>map_h34_war1</t>
        </is>
      </c>
      <c r="H24" s="23" t="inlineStr">
        <is>
          <t>sect_march</t>
        </is>
      </c>
      <c r="I24" s="23" t="n"/>
      <c r="J24" s="23" t="inlineStr">
        <is>
          <t>end_hierophant_execution terminal: 'not one climactic fight -- several chapters of costly, attritional maps against regions and sects that were allied or neutral an act ago, now fractured.' 'Several' isn't a specific count in that text -- 3 chapters (war1/2/3) is this pass's own invented number, not sourced. sect_id resolved to sect_march, see ch_h31 and the_hierophant tab.</t>
        </is>
      </c>
      <c r="K24" s="24" t="inlineStr">
        <is>
          <t>desolate</t>
        </is>
      </c>
      <c r="L24" s="24" t="inlineStr">
        <is>
          <t>attrition, not spectacle</t>
        </is>
      </c>
      <c r="M24" s="17" t="inlineStr">
        <is>
          <t>loc_muster_field</t>
        </is>
      </c>
      <c r="N24" s="17" t="inlineStr">
        <is>
          <t>ch_h32</t>
        </is>
      </c>
    </row>
    <row r="25">
      <c r="A25" s="23" t="inlineStr">
        <is>
          <t>ch_h34_war2</t>
        </is>
      </c>
      <c r="B25" s="23" t="inlineStr">
        <is>
          <t>3</t>
        </is>
      </c>
      <c r="C25" s="23" t="inlineStr">
        <is>
          <t>both</t>
        </is>
      </c>
      <c r="D25" s="23" t="inlineStr">
        <is>
          <t>unified</t>
        </is>
      </c>
      <c r="E25" s="23" t="n">
        <v>35</v>
      </c>
      <c r="F25" s="23" t="inlineStr">
        <is>
          <t>The War: Second Front</t>
        </is>
      </c>
      <c r="G25" s="23" t="inlineStr">
        <is>
          <t>map_h34_war2</t>
        </is>
      </c>
      <c r="H25" s="23" t="inlineStr">
        <is>
          <t>sect_march</t>
        </is>
      </c>
      <c r="I25" s="23" t="n"/>
      <c r="J25" s="23" t="inlineStr">
        <is>
          <t>Second of the invented 3-chapter War arc -- see ch_h34_war1's note.</t>
        </is>
      </c>
      <c r="K25" s="24" t="inlineStr">
        <is>
          <t>desolate</t>
        </is>
      </c>
      <c r="L25" s="24" t="inlineStr">
        <is>
          <t>the front keeps moving, there's no fixed line to hold</t>
        </is>
      </c>
      <c r="M25" s="17" t="inlineStr">
        <is>
          <t>loc_glass_edge</t>
        </is>
      </c>
      <c r="N25" s="17" t="inlineStr">
        <is>
          <t>ch_h34_war1</t>
        </is>
      </c>
    </row>
    <row r="26">
      <c r="A26" s="23" t="inlineStr">
        <is>
          <t>ch_h34_war3</t>
        </is>
      </c>
      <c r="B26" s="23" t="inlineStr">
        <is>
          <t>3</t>
        </is>
      </c>
      <c r="C26" s="23" t="inlineStr">
        <is>
          <t>both</t>
        </is>
      </c>
      <c r="D26" s="23" t="inlineStr">
        <is>
          <t>unified</t>
        </is>
      </c>
      <c r="E26" s="23" t="n">
        <v>36</v>
      </c>
      <c r="F26" s="23" t="inlineStr">
        <is>
          <t>The War: Reckoning</t>
        </is>
      </c>
      <c r="G26" s="23" t="inlineStr">
        <is>
          <t>map_h34_war3</t>
        </is>
      </c>
      <c r="H26" s="23" t="inlineStr">
        <is>
          <t>sect_march</t>
        </is>
      </c>
      <c r="I26" s="23" t="n"/>
      <c r="J26" s="23" t="inlineStr">
        <is>
          <t>Third and final of the invented 3-chapter War arc -- see ch_h34_war1's note. Closes the execution branch.</t>
        </is>
      </c>
      <c r="K26" s="24" t="inlineStr">
        <is>
          <t>grim</t>
        </is>
      </c>
      <c r="L26" s="24" t="inlineStr">
        <is>
          <t>the cost lands on the world</t>
        </is>
      </c>
      <c r="M26" s="17" t="inlineStr">
        <is>
          <t>loc_kaisareia_walls</t>
        </is>
      </c>
      <c r="N26" s="17" t="inlineStr">
        <is>
          <t>ch_h34_war2</t>
        </is>
      </c>
    </row>
    <row r="27">
      <c r="A27" s="23" t="inlineStr">
        <is>
          <t>ch_p_macuil</t>
        </is>
      </c>
      <c r="B27" s="23" t="inlineStr">
        <is>
          <t>paralogue</t>
        </is>
      </c>
      <c r="C27" s="23" t="inlineStr">
        <is>
          <t>both</t>
        </is>
      </c>
      <c r="D27" s="23" t="inlineStr">
        <is>
          <t>unified</t>
        </is>
      </c>
      <c r="E27" s="23" t="n">
        <v>90</v>
      </c>
      <c r="F27" s="23" t="inlineStr">
        <is>
          <t>The North Wind Winds</t>
        </is>
      </c>
      <c r="G27" s="23" t="inlineStr">
        <is>
          <t>map_p_macuil</t>
        </is>
      </c>
      <c r="H27" s="23" t="inlineStr">
        <is>
          <t>sect_march</t>
        </is>
      </c>
      <c r="I27" s="23" t="n"/>
      <c r="J27" s="23" t="inlineStr">
        <is>
          <t>CORRECTION (2026-09-24): reassigned from sect_coast to sect_march. The earlier pass (2026-09-23) grounded this chapter in rgn_stepped_coast's terrace scar text and stopped there without checking every paralogue-tagged locations row -- the same class of error already caught once on ch_p_indech's note. A fuller pass found locations.loc_north_wind (region_id=rgn_drowned_march, 'the second hermit; likewise refuses') -- rgn_drowned_march's own direction column is literally 'north', and this chapter's own title is 'The North Wind Winds': name, direction, and the explicit 'second hermit' pairing with loc_hermit_lake (Indech, 'the first hermit', sect_coast) all point the same way. rgn_stepped_coast's terrace imagery was a real textual match but the wrong one -- npcs.npc_macuil never named a region itself, only 'refuses to adjudicate', which fits either hermit equally well and doesn't disambiguate. Regrounded in rgn_drowned_march's own scar ('a rift valley that filled; a lake with a visible former shoreline') and texture ('in dry years the top of a bell tower breaks the surface; villages sit on the new shoreline and farm the old one'); see maps.map_p_macuil's own note for the terrain rebuild. sect_march's own dual explanation_sacred/explanation_material columns reused for the same 'offers both, refuses to choose' device the old (wrong-region) version already had -- that narrative structure transfers cleanly, only the grounding under it changes.</t>
        </is>
      </c>
      <c r="K27" s="24" t="inlineStr">
        <is>
          <t>elegiac</t>
        </is>
      </c>
      <c r="L27" s="24" t="inlineStr">
        <is>
          <t>a saint who will not judge</t>
        </is>
      </c>
      <c r="M27" s="17" t="inlineStr">
        <is>
          <t>loc_north_wind</t>
        </is>
      </c>
      <c r="N27" s="17" t="inlineStr">
        <is>
          <t>ch_a05|ch_d05</t>
        </is>
      </c>
    </row>
    <row r="28">
      <c r="A28" s="23" t="inlineStr">
        <is>
          <t>ch_p_indech</t>
        </is>
      </c>
      <c r="B28" s="23" t="inlineStr">
        <is>
          <t>paralogue</t>
        </is>
      </c>
      <c r="C28" s="23" t="inlineStr">
        <is>
          <t>both</t>
        </is>
      </c>
      <c r="D28" s="23" t="inlineStr">
        <is>
          <t>unified</t>
        </is>
      </c>
      <c r="E28" s="23" t="n">
        <v>91</v>
      </c>
      <c r="F28" s="23" t="inlineStr">
        <is>
          <t>His Lake</t>
        </is>
      </c>
      <c r="G28" s="23" t="inlineStr">
        <is>
          <t>map_p_indech</t>
        </is>
      </c>
      <c r="H28" s="23" t="inlineStr">
        <is>
          <t>sect_coast</t>
        </is>
      </c>
      <c r="I28" s="23" t="n"/>
      <c r="J28" s="23" t="inlineStr">
        <is>
          <t>npcs.npc_indech: 'hermit saint... his lake, fisher cult; paralogue capstone.' Same act1=no/act2=no/act3=yes confirmation as ch_p_macuil. CORRECTED (2026-09-23): the first pass checking for a sect_coast connection only read the regions tab (one row per claimed region) and missed the finer-grained locations/polities/settlements tabs. locations.loc_hermit_lake ('The saint's lake', region_id=rgn_stepped_coast, 'a hermit who refuses to adjudicate; fisher cult around him') is Indech's lake almost verbatim. polities.pol_isles (also rgn_stepped_coast) independently confirms it: 'a hermit saint lives here and refuses to adjudicate anything.' settlements.set_pelagos (also rgn_stepped_coast): 'fisher commune; the saint lives on the next island and they feed him' -- Pelagos IS the fisher cult. CORRECTION 2 (2026-09-24): the earlier note here also claimed Macuil was sect_coast's paralogue too, in this same region -- that was wrong (see ch_p_macuil's own corrected note). locations.loc_hermit_lake itself names Indech 'a hermit', and the paired loc_north_wind row (region_id=rgn_drowned_march) names Macuil 'the second hermit' in a DIFFERENT region -- sect_coast's own paralogue set is Indech and the Shadhavar (locations.loc_lowest_terrace, same region), not Indech and Macuil. teaches_system's shared 'a saint who will not judge' with ch_p_macuil is still deliberate parallel structure across two different sects, not evidence they share one.</t>
        </is>
      </c>
      <c r="K28" s="24" t="inlineStr">
        <is>
          <t>wondrous</t>
        </is>
      </c>
      <c r="L28" s="24" t="inlineStr">
        <is>
          <t>a saint who will not judge</t>
        </is>
      </c>
      <c r="M28" s="17" t="inlineStr">
        <is>
          <t>loc_hermit_lake</t>
        </is>
      </c>
      <c r="N28" s="17" t="inlineStr">
        <is>
          <t>ch_a06|ch_d06</t>
        </is>
      </c>
    </row>
    <row r="29">
      <c r="A29" s="17" t="inlineStr">
        <is>
          <t>ch_p_shadhavar</t>
        </is>
      </c>
      <c r="B29" s="17" t="inlineStr">
        <is>
          <t>paralogue</t>
        </is>
      </c>
      <c r="C29" s="17" t="inlineStr">
        <is>
          <t>both</t>
        </is>
      </c>
      <c r="D29" s="17" t="inlineStr">
        <is>
          <t>unified</t>
        </is>
      </c>
      <c r="E29" s="17" t="n">
        <v>92</v>
      </c>
      <c r="F29" s="17" t="inlineStr">
        <is>
          <t>The Lowest Terrace</t>
        </is>
      </c>
      <c r="G29" s="17" t="inlineStr">
        <is>
          <t>map_p_shadhavar</t>
        </is>
      </c>
      <c r="H29" s="17" t="inlineStr">
        <is>
          <t>sect_coast</t>
        </is>
      </c>
      <c r="J29" s="17" t="inlineStr">
        <is>
          <t>New (2026-09-24), sect_coast's third declared paralogue location -- found while auditing every locations row tagged chapters='P' after the ch_p_macuil correction (see that chapter's own note). locations.loc_lowest_terrace (region_id=rgn_stepped_coast, chapters='P', acts='paralogue', 'the Shadhavar; the song pulls the nearest enemy one tile a turn') and named.nmd_shadhavar (same region, pact_object='the song', terms='pacts through beauty; the lure is what it IS, not a trick it performs', signature_mechanic='every turn, pulls the nearest enemy one tile toward the rider; CANNOT be turned off', notes='liability on escort maps, asset on defend maps') are the full grounding -- both independently point at rgn_stepped_coast, already confirmed claimed_by_sect_id=sect_coast. This completes sect_coast's declared paralogue set (Indech + the Shadhavar, per every locations row tagged chapters='P' with region_id=rgn_stepped_coast); Macuil is not part of it, see that chapter's own corrected note. IMPORTANT SCOPE NOTE: the real pact/capture system (named's own addendum: 'three-way capture: intact / harvest / kill', 'the Named know each other: kill one and the next will not be captured') and the Shadhavar's own always-on song-pull mechanic are NOT implemented in map_grid.gd -- this chapter is built to the same skeleton depth as every other map this session (real terrain, a reachable objective, a scene), not a claim that the capture system itself now exists. ea_shadhavar (enemy_archetypes) represents it as a reachable/fightable stand-in the same way ea_warlord stands in for Macuil and Indech's own capstone fights.</t>
        </is>
      </c>
      <c r="K29" s="17" t="inlineStr">
        <is>
          <t>eerie</t>
        </is>
      </c>
      <c r="L29" s="17" t="inlineStr">
        <is>
          <t>a pact that cannot be turned off</t>
        </is>
      </c>
      <c r="M29" s="17" t="inlineStr">
        <is>
          <t>loc_lowest_terrace</t>
        </is>
      </c>
      <c r="N29" s="17" t="inlineStr">
        <is>
          <t>ch_a06|ch_d06</t>
        </is>
      </c>
    </row>
    <row r="30">
      <c r="A30" s="17" t="inlineStr">
        <is>
          <t>ch_p_simurgh</t>
        </is>
      </c>
      <c r="B30" s="17" t="inlineStr">
        <is>
          <t>paralogue</t>
        </is>
      </c>
      <c r="C30" s="17" t="inlineStr">
        <is>
          <t>both</t>
        </is>
      </c>
      <c r="D30" s="17" t="inlineStr">
        <is>
          <t>unified</t>
        </is>
      </c>
      <c r="E30" s="17" t="n">
        <v>93</v>
      </c>
      <c r="F30" s="17" t="inlineStr">
        <is>
          <t>The Mountain Above the Lake</t>
        </is>
      </c>
      <c r="G30" s="17" t="inlineStr">
        <is>
          <t>map_p_simurgh</t>
        </is>
      </c>
      <c r="H30" s="17" t="inlineStr">
        <is>
          <t>sect_march</t>
        </is>
      </c>
      <c r="J30" s="17" t="inlineStr">
        <is>
          <t>New (2026-09-24). sect_march's second declared paralogue, found the same way ch_p_shadhavar was: auditing every locations row tagged chapters='P'. locations.loc_simurgh_nest (region_id=rgn_drowned_march, 'The mountain above the lake', 'the Simurgh; a foster-mother who answers whoever holds the feather') and named.nmd_simurgh (same region -- pact_object='the feather', terms='answers whoever holds the feather, and answers anyone who holds it', signature_mechanic='5 HP/turn to rider and adjacent allies (flat, not percentage)', notes='cleanses corruption; the only thing that can strip a pact without a Pardoner, and will not do it on request'). Both independently point at rgn_drowned_march, already confirmed claimed_by_sect_id=sect_march via ch_p_macuil's own corrected note. This gives sect_march two declared paralogues (loc_north_wind/Macuil, loc_simurgh_nest/the Simurgh) against rgn_drowned_march's own locations rows -- no third one tagged chapters='P' exists for this region or rgn_the_shoulder (sect_march's other claimed region), so this completes sect_march's set the same way ch_p_shadhavar completed sect_coast's. SCOPE NOTE, same as every other named-creature paralogue this session: the real pact system (whoever holds the feather commands her, defects instantly on the feather changing hands, cleanses corruption 'will not do it on request') and the flat 5 HP/turn aura are NOT implemented in map_grid.gd -- this is a reachable/fightable skeleton encounter only, same honesty flag as ea_shadhavar's own row. The Simurgh reads as notably less adversarial than the Shadhavar or the Karkadann (nothing in named.nmd_simurgh suggests she attacks on sight) -- representing her as encounter_spawns kind='boss' is a bigger tonal stretch here than anywhere else this pattern has been used, flagged plainly rather than smoothed over.</t>
        </is>
      </c>
      <c r="K30" s="17" t="inlineStr">
        <is>
          <t>ambivalent</t>
        </is>
      </c>
      <c r="L30" s="17" t="inlineStr">
        <is>
          <t>help you cannot simply ask for</t>
        </is>
      </c>
      <c r="M30" s="17" t="inlineStr">
        <is>
          <t>loc_simurgh_nest</t>
        </is>
      </c>
      <c r="N30" s="17" t="inlineStr">
        <is>
          <t>ch_a05|ch_d05</t>
        </is>
      </c>
    </row>
    <row r="31">
      <c r="A31" s="17" t="inlineStr">
        <is>
          <t>ch_p_karkadann</t>
        </is>
      </c>
      <c r="B31" s="17" t="inlineStr">
        <is>
          <t>paralogue</t>
        </is>
      </c>
      <c r="C31" s="17" t="inlineStr">
        <is>
          <t>both</t>
        </is>
      </c>
      <c r="D31" s="17" t="inlineStr">
        <is>
          <t>unified</t>
        </is>
      </c>
      <c r="E31" s="17" t="n">
        <v>94</v>
      </c>
      <c r="F31" s="17" t="inlineStr">
        <is>
          <t>The Dove Colony</t>
        </is>
      </c>
      <c r="G31" s="17" t="inlineStr">
        <is>
          <t>map_p_karkadann</t>
        </is>
      </c>
      <c r="H31" s="17" t="inlineStr">
        <is>
          <t>sect_vashti</t>
        </is>
      </c>
      <c r="J31" s="17" t="inlineStr">
        <is>
          <t>New (2026-09-24). sect_vashti's first declared paralogue, found the same way ch_p_shadhavar/ch_p_simurgh were: auditing every locations row tagged chapters='P'. locations.loc_dove_colony (region_id=rgn_ashland, 'the Karkadann; it guards what it has decided to guard') and named.nmd_karkadann (same region -- pact_object='the nest it guards', terms='protects what it has decided to protect; nothing negotiates with it', defection_trigger='turns the moment you threaten the doves; state orders and its terms are simply incompatible', notes='the plain one on purpose -- the roster needs one straightforwardly good option'). rgn_ashland is already confirmed claimed_by_sect_id=sect_vashti (regions tab). locations.loc_cinder_track, an already-referenced Act2 location in this same region, independently calls its own ground 'the Karkadann's country' -- corroborating, not contradicting: cinder_track is the ash road THROUGH its territory, dove_colony is the guarded heart of it. rgn_ashland's other paralogue-tagged location, loc_buried_works ('records, complicit clerks, a shrine built over a facility'), is not a Named-creature site and is left for a separate paralogue. SCOPE NOTE, same as every other named-creature paralogue this session: the real pact system (guards only what it has decided to guard, turns hostile specifically if the doves are threatened, cannot be ordered) and its charge mechanic (strong vs mounted, stuck one turn after) are NOT implemented in map_grid.gd -- reachable/fightable skeleton only. Unlike the Shadhavar (eerie, uncontrolled) or the Simurgh (protective but withholding), named.nmd_karkadann's own notes call it 'the plain one on purpose... straightforwardly good' -- the least ambivalent of the Named encountered so far, closer to a hero-monster than a riddle. VALIDATOR NOTE (2026-09-24): canon_validate.py's c09 check now flags 3 consecutive 'seize' chapters on route='both'/column='unified' (ch_p_shadhavar, ch_p_simurgh, ch_p_karkadann). Reviewed, not fixed: all three genuinely have no stated objective in their own grounding text, and 'seize' is the same honest placeholder used for every paralogue map to date (map_p_macuil included) -- inventing artificial variety across them to quiet this warning would trade a real grounding gap for a fake one. Left as a known pacing gap for whenever paralogue objectives get real design attention.</t>
        </is>
      </c>
      <c r="K31" s="17" t="inlineStr">
        <is>
          <t>warm</t>
        </is>
      </c>
      <c r="L31" s="17" t="inlineStr">
        <is>
          <t>a guardian whose terms are simple and absolute</t>
        </is>
      </c>
      <c r="M31" s="17" t="inlineStr">
        <is>
          <t>loc_dove_colony</t>
        </is>
      </c>
      <c r="N31" s="17" t="inlineStr">
        <is>
          <t>ch_a10|ch_d10</t>
        </is>
      </c>
    </row>
    <row r="32">
      <c r="A32" s="17" t="inlineStr">
        <is>
          <t>ch_p_anzu</t>
        </is>
      </c>
      <c r="B32" s="17" t="inlineStr">
        <is>
          <t>paralogue</t>
        </is>
      </c>
      <c r="C32" s="17" t="inlineStr">
        <is>
          <t>both</t>
        </is>
      </c>
      <c r="D32" s="17" t="inlineStr">
        <is>
          <t>unified</t>
        </is>
      </c>
      <c r="E32" s="17" t="n">
        <v>95</v>
      </c>
      <c r="F32" s="17" t="inlineStr">
        <is>
          <t>The Interior of the Flats</t>
        </is>
      </c>
      <c r="G32" s="17" t="inlineStr">
        <is>
          <t>map_p_anzu</t>
        </is>
      </c>
      <c r="H32" s="17" t="inlineStr">
        <is>
          <t>sect_road</t>
        </is>
      </c>
      <c r="J32" s="17" t="inlineStr">
        <is>
          <t>New (2026-09-24). sect_road's first declared paralogue, found the same way the last three were: auditing every locations row tagged chapters='P'. locations.loc_flats_interior (region_id=rgn_glass_flats, 'the Anzu; arrows come apart, and it reads what you cannot') and named.nmd_anzu (same region -- pact_object='the register itself', terms='contracts with whoever can READ the register, not who owns it', defection_trigger='someone demonstrates literacy you lack; ties to the hidden-literacy thread', signature_mechanic='contact degrades enemy weapons; only bites what is already worn; broken means unarmed, not dead'). rgn_glass_flats is already confirmed claimed_by_sect_id=sect_road (regions tab). loc_glass_edge, an existing Act2 location in the same region, corroborates rather than conflicts: it's the approach ('the edge of the Glass Flats'), this paralogue is the interior. objective_verb='seize' stays the honest placeholder, same reasoning already reviewed on ch_p_karkadann's own notes (nothing in either grounding source states a win condition) -- this is now a 4th consecutive placeholder-seize paralogue and c09 will likely flag it again; not fixed for the same reason: inventing variety not supported by the data would trade a real gap for a fake one. Notably sect_road already has a real, non-placeholder 'purchase' objective_verb precedent (ch_r16/map_b15, tied to the sect's own redemption-as-purchase doctrine) -- considered and rejected here, because named.nmd_anzu's own terms are explicitly about LITERACY, not currency ('contracts with whoever can READ the register, not who owns it') -- reusing 'purchase' would import the wrong mechanic just to avoid repetition. SCOPE NOTE, same as every other named-creature paralogue: the real pact/literacy-contract system and the weapon-degrading touch are NOT implemented in map_grid.gd -- reachable/fightable skeleton only.</t>
        </is>
      </c>
      <c r="K32" s="17" t="inlineStr">
        <is>
          <t>strange</t>
        </is>
      </c>
      <c r="L32" s="17" t="inlineStr">
        <is>
          <t>a pact you must be able to read to keep</t>
        </is>
      </c>
      <c r="M32" s="17" t="inlineStr">
        <is>
          <t>loc_flats_interior</t>
        </is>
      </c>
      <c r="N32" s="17" t="inlineStr">
        <is>
          <t>ch_x11</t>
        </is>
      </c>
    </row>
    <row r="33">
      <c r="A33" s="17" t="inlineStr">
        <is>
          <t>ch_p_huma</t>
        </is>
      </c>
      <c r="B33" s="17" t="inlineStr">
        <is>
          <t>paralogue</t>
        </is>
      </c>
      <c r="C33" s="17" t="inlineStr">
        <is>
          <t>both</t>
        </is>
      </c>
      <c r="D33" s="17" t="inlineStr">
        <is>
          <t>unified</t>
        </is>
      </c>
      <c r="E33" s="17" t="n">
        <v>96</v>
      </c>
      <c r="F33" s="17" t="inlineStr">
        <is>
          <t>The Open Road</t>
        </is>
      </c>
      <c r="G33" s="17" t="inlineStr">
        <is>
          <t>map_p_huma</t>
        </is>
      </c>
      <c r="H33" s="17" t="inlineStr">
        <is>
          <t>sect_road</t>
        </is>
      </c>
      <c r="J33" s="17" t="inlineStr">
        <is>
          <t>New (2026-09-24). sect_road's second and final declared paralogue, found the same way ch_p_anzu was: auditing every locations row tagged chapters='P'. locations.loc_open_road (region_id=rgn_the_throat, 'The open road (no fixed site)', 'the Huma; it never lands, so it belongs to a road, not a place') and named.nmd_huma (same region -- pact_object='no seal; it cannot be owned', terms='cannot be owned, only flown under; its shadow legitimizes whoever it falls on', defection_trigger='never defects because it was never yours', signature_mechanic='MAP HAZARD, NOT A MOUNT: drifts overhead; marked units gain stats and become targeting priority for every enemy', notes='kill-taboo: whoever lands the blow dies in forty days, no reload undoes it'). rgn_the_throat is sect_road's own seat region, already confirmed claimed_by_sect_id=sect_road. With this, sect_road's declared paralogue set (rgn_glass_flats' loc_flats_interior + rgn_the_throat's loc_open_road) is complete. DESIGN DEPARTURE FROM THE OTHER FOUR NAMED PARALOGUES: this one explicitly is NOT a fightable capstone. named.nmd_huma's own text is unambiguous that it is a map hazard, not a mount, and that killing it carries a stated kill-taboo (death in forty days) rather than any reward -- giving it an encounter_spawns kind='boss' row the way the Shadhavar/Simurgh/Karkadann/Anzu all got would directly contradict its own grounding, not just stretch it the way ea_simurgh's did. So there is no ea_huma / no boss spawn here: the Huma appears only in this map's terrain/design_note text and the scene, drifting overhead as atmosphere, never as a targetable unit. objective_verb='escape' (not the usual placeholder 'seize') is the one real, grounded departure from every prior paralogue's objective: locations.loc_open_road is explicit 'no fixed site' -- there is nothing to seize -- and a road is crossed, not held. Reuses map_grid.gd's existing escape/escort win logic (min_solution_units units must reach the 'E' tile), same mechanism as map_a03. Ordinary road threats (reused ea_looter, same archetype already grounded for 'opportunists working the toll road' on sect_road's own map_r16) provide the actual combat, since a battle map needs contestable enemies and the Huma itself cannot be one.</t>
        </is>
      </c>
      <c r="K33" s="17" t="inlineStr">
        <is>
          <t>wondrous</t>
        </is>
      </c>
      <c r="L33" s="17" t="inlineStr">
        <is>
          <t>a blessing that was never yours to keep</t>
        </is>
      </c>
      <c r="M33" s="17" t="inlineStr">
        <is>
          <t>loc_open_road</t>
        </is>
      </c>
      <c r="N33" s="17" t="inlineStr">
        <is>
          <t>ch_x11</t>
        </is>
      </c>
    </row>
    <row r="34">
      <c r="A34" s="17" t="inlineStr">
        <is>
          <t>ch_p_buried_works</t>
        </is>
      </c>
      <c r="B34" s="17" t="inlineStr">
        <is>
          <t>paralogue</t>
        </is>
      </c>
      <c r="C34" s="17" t="inlineStr">
        <is>
          <t>both</t>
        </is>
      </c>
      <c r="D34" s="17" t="inlineStr">
        <is>
          <t>unified</t>
        </is>
      </c>
      <c r="E34" s="17" t="n">
        <v>97</v>
      </c>
      <c r="F34" s="17" t="inlineStr">
        <is>
          <t>The Buried Works</t>
        </is>
      </c>
      <c r="G34" s="17" t="inlineStr">
        <is>
          <t>map_p_buried_works</t>
        </is>
      </c>
      <c r="H34" s="17" t="inlineStr">
        <is>
          <t>sect_vashti</t>
        </is>
      </c>
      <c r="J34" s="17" t="inlineStr">
        <is>
          <t>New (2026-09-24). sect_vashti's second and final declared paralogue, the last of all 8 locations rows tagged chapters='P' in canon.xlsx -- every sect's declared paralogue set is now built. locations.loc_buried_works ('The buried works, under Vashti', region_id=rgn_ashland, 'records, complicit clerks, a shrine built over a facility'). Unlike every other paralogue this session, this one has no named.* row -- rgn_ashland's only Named tie is nmd_karkadann, already spent on ch_p_karkadann/loc_dove_colony -- so there is no creature here at all, human antagonists only. Grounded directly in sects.sect_vashti's own wound ('collaboration: lords who hosted the experiments still hold office') and doctrine ('sacraments from complicit hands are void; the veneration must be re-made clean') -- the same 'complicit hands... re-made clean' refrain already used for map_v21's shrine-reconsecration defend map, and independently echoed a third time in calendar!C6 ('any calendar kept by complicit hands is void'). This paralogue is the literal version of that refrain: a shrine built OVER the buried facility where the experiments happened, its records still down there. Reuses ea_hardened_veteran for both the boss and mook spawn, same archetype and same justification ch_v21's own encounter_spawns row already used for 'the lord's household guard' -- 'complicit hands' generally, no named individual stated anywhere. objective_verb='seize' here is NOT the usual paralogue placeholder: every other paralogue's 'seize' was an honest default because nothing stated a win condition -- here the records themselves are explicitly the thing to reach, so 'seize the archive' is the directly grounded choice. CROSS-REFERENCE, not resolved here: ascension_signals.sig_unstained_respected ('whether the Unstained's refusal of him was honored or steamrolled in how their chapters/paralogue resolved') names 'their... paralogue' as one of its own inputs -- this is that paralogue. ascension_signals' own header note is explicit these signals are 'candidates, not a locked checklist' and belong to their own authored-decision session -- noted here as a real connection, not wired into any flag or GameState mechanic.</t>
        </is>
      </c>
      <c r="K34" s="17" t="inlineStr">
        <is>
          <t>grim</t>
        </is>
      </c>
      <c r="L34" s="17" t="inlineStr">
        <is>
          <t>what a shrine is built to bury</t>
        </is>
      </c>
      <c r="M34" s="17" t="inlineStr">
        <is>
          <t>loc_buried_works</t>
        </is>
      </c>
      <c r="N34" s="17" t="inlineStr">
        <is>
          <t>ch_a10|ch_d10</t>
        </is>
      </c>
    </row>
    <row r="35">
      <c r="A35" s="17" t="inlineStr">
        <is>
          <t>ch_d04</t>
        </is>
      </c>
      <c r="B35" s="17" t="inlineStr">
        <is>
          <t>1</t>
        </is>
      </c>
      <c r="C35" s="17" t="inlineStr">
        <is>
          <t>diadem</t>
        </is>
      </c>
      <c r="D35" s="17" t="inlineStr">
        <is>
          <t>unified</t>
        </is>
      </c>
      <c r="E35" s="17" t="n">
        <v>4</v>
      </c>
      <c r="F35" s="17" t="inlineStr">
        <is>
          <t>Thessala Harbour</t>
        </is>
      </c>
      <c r="G35" s="17" t="inlineStr">
        <is>
          <t>map_d04</t>
        </is>
      </c>
      <c r="J35"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locations.loc_thessala (region_id=rgn_center, 'south coast; grain bought abroad, unloaded under protest'). 'Under protest' reads as a hostile crowd around the unloading, not the protesters themselves as combatants -- the actual threat is opportunists exploiting the unrest to loot the grain, same framing ea_looter already carries everywhere else it's used this session, kept deliberately rather than making dockside protesters into killable enemies.</t>
        </is>
      </c>
      <c r="K35" s="17" t="inlineStr">
        <is>
          <t>tense</t>
        </is>
      </c>
      <c r="L35" s="17" t="inlineStr">
        <is>
          <t>defend under a deadline</t>
        </is>
      </c>
      <c r="M35" s="17" t="inlineStr">
        <is>
          <t>loc_thessala</t>
        </is>
      </c>
      <c r="N35" s="17" t="inlineStr">
        <is>
          <t>ch_d03</t>
        </is>
      </c>
    </row>
    <row r="36">
      <c r="A36" s="17" t="inlineStr">
        <is>
          <t>ch_d06</t>
        </is>
      </c>
      <c r="B36" s="17" t="inlineStr">
        <is>
          <t>1</t>
        </is>
      </c>
      <c r="C36" s="17" t="inlineStr">
        <is>
          <t>diadem</t>
        </is>
      </c>
      <c r="D36" s="17" t="inlineStr">
        <is>
          <t>unified</t>
        </is>
      </c>
      <c r="E36" s="17" t="n">
        <v>6</v>
      </c>
      <c r="F36" s="17" t="inlineStr">
        <is>
          <t>Anthe, on the Terraces</t>
        </is>
      </c>
      <c r="G36" s="17" t="inlineStr">
        <is>
          <t>map_d06</t>
        </is>
      </c>
      <c r="J36"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locations.loc_anthe (region_id=rgn_stepped_coast, 'a port stranded above its own water; three levels of street'). This is the terrain regions.rgn_stepped_coast's own scar text ('three raised marine terraces, each a former shoreline, each with a ruined harbor at the wrong altitude') actually describes first -- a 2026-09-23 pass used that same scar text for ch_p_macuil before that was corrected to a different region entirely (see ch_p_macuil's own note); this chapter is the terrace terrain's real, rightful home in canon.xlsx, not a reuse of the correction.</t>
        </is>
      </c>
      <c r="K36" s="17" t="inlineStr">
        <is>
          <t>elegiac</t>
        </is>
      </c>
      <c r="L36" s="17" t="inlineStr">
        <is>
          <t>riding-blocked elevation</t>
        </is>
      </c>
      <c r="M36" s="17" t="inlineStr">
        <is>
          <t>loc_anthe</t>
        </is>
      </c>
      <c r="N36" s="17" t="inlineStr">
        <is>
          <t>ch_d05</t>
        </is>
      </c>
    </row>
    <row r="37">
      <c r="A37" s="17" t="inlineStr">
        <is>
          <t>ch_d07</t>
        </is>
      </c>
      <c r="B37" s="17" t="inlineStr">
        <is>
          <t>1</t>
        </is>
      </c>
      <c r="C37" s="17" t="inlineStr">
        <is>
          <t>diadem</t>
        </is>
      </c>
      <c r="D37" s="17" t="inlineStr">
        <is>
          <t>unified</t>
        </is>
      </c>
      <c r="E37" s="17" t="n">
        <v>7</v>
      </c>
      <c r="F37" s="17" t="inlineStr">
        <is>
          <t>The Stranded Harbour</t>
        </is>
      </c>
      <c r="G37" s="17" t="inlineStr">
        <is>
          <t>map_d07</t>
        </is>
      </c>
      <c r="J37"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locations.loc_stranded_harbour (region_id=rgn_stepped_coast, 'ruin on the middle terrace; the renunciants live in it'). 'The renunciants' are sects.sect_coast's own people (doctrine: 'renunciation; refuse to adjudicate') -- named here for the first time as inhabitants of this specific ruin, not combatants (sect_coast is 'unreachable by writ' per its own notes, so this stays sect_id=None like every other diadem Act1 chapter, not a formal sect encounter). The actual fight is against looters/scavengers picking through the ruin, reusing ea_looter again -- the renunciants themselves are flavor, not enemies.</t>
        </is>
      </c>
      <c r="K37" s="17" t="inlineStr">
        <is>
          <t>elegiac</t>
        </is>
      </c>
      <c r="L37" s="17" t="inlineStr">
        <is>
          <t>a ruin with residents who are not the enemy</t>
        </is>
      </c>
      <c r="M37" s="17" t="inlineStr">
        <is>
          <t>loc_stranded_harbour</t>
        </is>
      </c>
      <c r="N37" s="17" t="inlineStr">
        <is>
          <t>ch_d06</t>
        </is>
      </c>
    </row>
    <row r="38">
      <c r="A38" s="17" t="inlineStr">
        <is>
          <t>ch_d08</t>
        </is>
      </c>
      <c r="B38" s="17" t="inlineStr">
        <is>
          <t>1</t>
        </is>
      </c>
      <c r="C38" s="17" t="inlineStr">
        <is>
          <t>diadem</t>
        </is>
      </c>
      <c r="D38" s="17" t="inlineStr">
        <is>
          <t>unified</t>
        </is>
      </c>
      <c r="E38" s="17" t="n">
        <v>8</v>
      </c>
      <c r="F38" s="17" t="inlineStr">
        <is>
          <t>The Dry Country</t>
        </is>
      </c>
      <c r="G38" s="17" t="inlineStr">
        <is>
          <t>map_d08</t>
        </is>
      </c>
      <c r="J38"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locations.loc_dry_country (region_id=rgn_center, 'open ground, no cover, the map that punishes slow armies'). objective_verb='survive' (not 'rout', which map_grid.gd does not implement -- checked before choosing) turns 'punishes slow armies' into a real mechanical shape: enduring N turns fully exposed on open ground against a fast raiding party, rather than a fixed point to reach. ea_war_captain reused as the raiders' leader -- a mobile order-tier threat, matching the location's own 'slow armies' framing by being fast itself.</t>
        </is>
      </c>
      <c r="K38" s="17" t="inlineStr">
        <is>
          <t>tense</t>
        </is>
      </c>
      <c r="L38" s="17" t="inlineStr">
        <is>
          <t>no cover, no terrain to lean on</t>
        </is>
      </c>
      <c r="M38" s="17" t="inlineStr">
        <is>
          <t>loc_dry_country</t>
        </is>
      </c>
      <c r="N38" s="17" t="inlineStr">
        <is>
          <t>ch_d07</t>
        </is>
      </c>
    </row>
    <row r="39">
      <c r="A39" s="17" t="inlineStr">
        <is>
          <t>ch_d09</t>
        </is>
      </c>
      <c r="B39" s="17" t="inlineStr">
        <is>
          <t>1</t>
        </is>
      </c>
      <c r="C39" s="17" t="inlineStr">
        <is>
          <t>diadem</t>
        </is>
      </c>
      <c r="D39" s="17" t="inlineStr">
        <is>
          <t>unified</t>
        </is>
      </c>
      <c r="E39" s="17" t="n">
        <v>9</v>
      </c>
      <c r="F39" s="17" t="inlineStr">
        <is>
          <t>The Vashti Road</t>
        </is>
      </c>
      <c r="G39" s="17" t="inlineStr">
        <is>
          <t>map_d09</t>
        </is>
      </c>
      <c r="J39"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locations.loc_vashti_road (region_id=rgn_ashland, 'the single road east; lava fans narrow it to one lane in places'). Terrain reuses ter_miasma (already grounded for rgn_ashland's own volcanic ash on ch_p_karkadann) for the lava-fan hazard patches and ter_span ('a', width-1 chokepoint, from map_f00) for the single-lane narrows the location's own text names directly. objective_verb='escape' -- a linear road corridor to cross, same shape as ch_p_huma's road, no cargo to escort stated anywhere in the location's own text (ch_d03 already covers diadem's escort-a-wagon beat).</t>
        </is>
      </c>
      <c r="K39" s="17" t="inlineStr">
        <is>
          <t>tense</t>
        </is>
      </c>
      <c r="L39" s="17" t="inlineStr">
        <is>
          <t>a chokepoint road, no fixed objective</t>
        </is>
      </c>
      <c r="M39" s="17" t="inlineStr">
        <is>
          <t>loc_vashti_road</t>
        </is>
      </c>
      <c r="N39" s="17" t="inlineStr">
        <is>
          <t>ch_d08</t>
        </is>
      </c>
    </row>
    <row r="40">
      <c r="A40" s="17" t="inlineStr">
        <is>
          <t>ch_d10</t>
        </is>
      </c>
      <c r="B40" s="17" t="inlineStr">
        <is>
          <t>1</t>
        </is>
      </c>
      <c r="C40" s="17" t="inlineStr">
        <is>
          <t>diadem</t>
        </is>
      </c>
      <c r="D40" s="17" t="inlineStr">
        <is>
          <t>unified</t>
        </is>
      </c>
      <c r="E40" s="17" t="n">
        <v>10</v>
      </c>
      <c r="F40" s="17" t="inlineStr">
        <is>
          <t>Vashti Gate</t>
        </is>
      </c>
      <c r="G40" s="17" t="inlineStr">
        <is>
          <t>map_d10</t>
        </is>
      </c>
      <c r="J40" s="17" t="inlineStr">
        <is>
          <t>New (2026-09-25). Diadem route Act1 gap, found by auditing every locations row with acts containing '1' against the chapters tab -- 10 diadem locations are declared (chapters '1' through '10' in locations' own legacy numbering) but only ch_d01/d02/d03/d05 existed as built chapters. This is one of the 6 remaining. locations.loc_vashti_gate's Act1 occurrence (chapters='10, 12, 28', this is the '10'; region_id=rgn_ashland, 'the occupied seat; the Unstained will not talk to you'). This same location's chapter-12 occurrence is already built as ch_v21 'The Unstained Seat' (Act2, sect_id=sect_vashti, 'no talk conversations available on their seat map' -- the exact same refusal-to-talk framing). This chapter is the diadem route's Act1 finale: the FIRST arrival at the gate and the first refusal, smaller in scale than Act2's full siege, still sect_id=None (Act1 chapters aren't attributed to sects in this canon, ch_v21 is the sect-attributed return to the same gate). ea_war_captain as the gate captain (boss), ea_hardened_veteran as household guard (mook) -- the same 'complicit hands'/household-guard reuse already established for ch_v21 and ch_p_buried_works. VALIDATOR NOTE (2026-09-25): c15 now flags a 5-chapter gap since the last warm/wondrous chapter, reaching this one, plus knock-on flags on ch_v21/ch_v22 downstream. Reviewed, not fixed: none of this batch's 6 gap chapters (ch_d04/06/07/08/09/10) grounded to a warm or wondrous register on their own terms -- Thessala's unrest, two elegiac ruins, an exposed survival map, a hazardous road, and a door that refuses to open are what their locations rows actually describe. Forcing one of them warm/wondrous to quiet this check would be the same kind of unearned variety already declined for c09 on ch_p_anzu/ch_p_karkadann -- left as a known pacing gap.</t>
        </is>
      </c>
      <c r="K40" s="17" t="inlineStr">
        <is>
          <t>grim</t>
        </is>
      </c>
      <c r="L40" s="17" t="inlineStr">
        <is>
          <t>a door that answers with force, not words</t>
        </is>
      </c>
      <c r="M40" s="17" t="inlineStr">
        <is>
          <t>loc_vashti_gate</t>
        </is>
      </c>
      <c r="N40" s="17" t="inlineStr">
        <is>
          <t>ch_d09</t>
        </is>
      </c>
    </row>
    <row r="41">
      <c r="A41" s="17" t="inlineStr">
        <is>
          <t>ch_a04</t>
        </is>
      </c>
      <c r="B41" s="17" t="inlineStr">
        <is>
          <t>1</t>
        </is>
      </c>
      <c r="C41" s="17" t="inlineStr">
        <is>
          <t>assembly</t>
        </is>
      </c>
      <c r="D41" s="17" t="inlineStr">
        <is>
          <t>unified</t>
        </is>
      </c>
      <c r="E41" s="17" t="n">
        <v>4</v>
      </c>
      <c r="F41" s="17" t="inlineStr">
        <is>
          <t>Halder Harbour</t>
        </is>
      </c>
      <c r="G41" s="17" t="inlineStr">
        <is>
          <t>map_a04</t>
        </is>
      </c>
      <c r="J41"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locations.loc_halder (region_id=rgn_drowned_march, 'north coast; exotic medicines bought from people who know it'). Continues assembly's own medicine thread rather than starting a new one: ch_a01 is a medicine cart (the winter dole), ch_a02 is an apothecary town -- this is where that medicine actually gets bought, from a black-market angle ('people who know it' implies specialist/illicit sourcing). Reuses ea_looter for the same opportunist framing as ch_d04's own harbour.</t>
        </is>
      </c>
      <c r="K41" s="17" t="inlineStr">
        <is>
          <t>tense</t>
        </is>
      </c>
      <c r="L41" s="17" t="inlineStr">
        <is>
          <t>a harbour trade, no crowd this time</t>
        </is>
      </c>
      <c r="M41" s="17" t="inlineStr">
        <is>
          <t>loc_halder</t>
        </is>
      </c>
      <c r="N41" s="17" t="inlineStr">
        <is>
          <t>ch_a03</t>
        </is>
      </c>
    </row>
    <row r="42">
      <c r="A42" s="17" t="inlineStr">
        <is>
          <t>ch_a05</t>
        </is>
      </c>
      <c r="B42" s="17" t="inlineStr">
        <is>
          <t>1</t>
        </is>
      </c>
      <c r="C42" s="17" t="inlineStr">
        <is>
          <t>assembly</t>
        </is>
      </c>
      <c r="D42" s="17" t="inlineStr">
        <is>
          <t>unified</t>
        </is>
      </c>
      <c r="E42" s="17" t="n">
        <v>5</v>
      </c>
      <c r="F42" s="17" t="inlineStr">
        <is>
          <t>The Lake Shore</t>
        </is>
      </c>
      <c r="G42" s="17" t="inlineStr">
        <is>
          <t>map_a05</t>
        </is>
      </c>
      <c r="J42"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locations.loc_lake_shore (region_id=rgn_drowned_march, 'the drowned town; a bell tower breaking the surface in dry years'). This is regions.rgn_drowned_march's own scar text in its most direct form -- the same texture ch_p_macuil's corrected terrain and ch_p_simurgh's mountain-above-the-lake both already draw on, this time as the Act1 location it was probably always meant to describe first. Terrain built fresh (open farmland, a residual lake patch, the bell tower's tip), not copied from either paralogue map.</t>
        </is>
      </c>
      <c r="K42" s="17" t="inlineStr">
        <is>
          <t>elegiac</t>
        </is>
      </c>
      <c r="L42" s="17" t="inlineStr">
        <is>
          <t>a drowned landmark, walkable around it</t>
        </is>
      </c>
      <c r="M42" s="17" t="inlineStr">
        <is>
          <t>loc_lake_shore</t>
        </is>
      </c>
      <c r="N42" s="17" t="inlineStr">
        <is>
          <t>ch_a04</t>
        </is>
      </c>
    </row>
    <row r="43">
      <c r="A43" s="17" t="inlineStr">
        <is>
          <t>ch_a06</t>
        </is>
      </c>
      <c r="B43" s="17" t="inlineStr">
        <is>
          <t>1</t>
        </is>
      </c>
      <c r="C43" s="17" t="inlineStr">
        <is>
          <t>assembly</t>
        </is>
      </c>
      <c r="D43" s="17" t="inlineStr">
        <is>
          <t>unified</t>
        </is>
      </c>
      <c r="E43" s="17" t="n">
        <v>6</v>
      </c>
      <c r="F43" s="17" t="inlineStr">
        <is>
          <t>Ostrova and the Marches</t>
        </is>
      </c>
      <c r="G43" s="17" t="inlineStr">
        <is>
          <t>map_a06</t>
        </is>
      </c>
      <c r="J43"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locations.loc_ostrova (region_id=rgn_drowned_march, 'steppe edge; the Assembly's eastern city, closer to the Plains than to Vetch'). A frontier city at the steppe's edge -- open ground with a small settlement cluster, threatened by mobile raiders out of the Plains (ea_war_captain) rather than an organized siege.</t>
        </is>
      </c>
      <c r="K43" s="17" t="inlineStr">
        <is>
          <t>tense</t>
        </is>
      </c>
      <c r="L43" s="17" t="inlineStr">
        <is>
          <t>a frontier city, open approach</t>
        </is>
      </c>
      <c r="M43" s="17" t="inlineStr">
        <is>
          <t>loc_ostrova</t>
        </is>
      </c>
      <c r="N43" s="17" t="inlineStr">
        <is>
          <t>ch_a05</t>
        </is>
      </c>
    </row>
    <row r="44">
      <c r="A44" s="17" t="inlineStr">
        <is>
          <t>ch_a07</t>
        </is>
      </c>
      <c r="B44" s="17" t="inlineStr">
        <is>
          <t>1</t>
        </is>
      </c>
      <c r="C44" s="17" t="inlineStr">
        <is>
          <t>assembly</t>
        </is>
      </c>
      <c r="D44" s="17" t="inlineStr">
        <is>
          <t>unified</t>
        </is>
      </c>
      <c r="E44" s="17" t="n">
        <v>7</v>
      </c>
      <c r="F44" s="17" t="inlineStr">
        <is>
          <t>The Upper Scar</t>
        </is>
      </c>
      <c r="G44" s="17" t="inlineStr">
        <is>
          <t>map_a07</t>
        </is>
      </c>
      <c r="J44"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locations.loc_upper_scar (region_id=rgn_drowned_march, 'escarpment fighting; the rift where it is still a cliff'). Upstream of loc_lake_shore's own flooded stretch of the same rift -- here it never filled, so it's a sheer drop instead of water. Terrain reuses ter_wall_face ('x') for the cliff edge itself (impassable to ground, flying passes over the void) rather than inventing a new symbol for one map. objective_verb='defend' (turn_limit=8) -- 'escarpment fighting' reads as holding a position, not reaching one.</t>
        </is>
      </c>
      <c r="K44" s="17" t="inlineStr">
        <is>
          <t>tense</t>
        </is>
      </c>
      <c r="L44" s="17" t="inlineStr">
        <is>
          <t>a cliff edge as a wall</t>
        </is>
      </c>
      <c r="M44" s="17" t="inlineStr">
        <is>
          <t>loc_upper_scar</t>
        </is>
      </c>
      <c r="N44" s="17" t="inlineStr">
        <is>
          <t>ch_a06</t>
        </is>
      </c>
    </row>
    <row r="45">
      <c r="A45" s="17" t="inlineStr">
        <is>
          <t>ch_a08</t>
        </is>
      </c>
      <c r="B45" s="17" t="inlineStr">
        <is>
          <t>1</t>
        </is>
      </c>
      <c r="C45" s="17" t="inlineStr">
        <is>
          <t>assembly</t>
        </is>
      </c>
      <c r="D45" s="17" t="inlineStr">
        <is>
          <t>unified</t>
        </is>
      </c>
      <c r="E45" s="17" t="n">
        <v>8</v>
      </c>
      <c r="F45" s="17" t="inlineStr">
        <is>
          <t>The Timber Road</t>
        </is>
      </c>
      <c r="G45" s="17" t="inlineStr">
        <is>
          <t>map_a08</t>
        </is>
      </c>
      <c r="J45"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locations.loc_timber_road (region_id=rgn_drowned_march, 'forest; the map where fliers are worthless and archers are not'). Terrain reuses ter_cloister ('i', from map_a03) for forest canopy purely for its existing cost profile -- blocks flying outright, cost 1 for every ground movement type -- which is exactly 'fliers worthless, archers not', not for its 'cloister/indoors' name. Bandits using the treeline for cover (ea_looter) rather than an organized force.</t>
        </is>
      </c>
      <c r="K45" s="17" t="inlineStr">
        <is>
          <t>tense</t>
        </is>
      </c>
      <c r="L45" s="17" t="inlineStr">
        <is>
          <t>canopy blocks flight, ground fights normal</t>
        </is>
      </c>
      <c r="M45" s="17" t="inlineStr">
        <is>
          <t>loc_timber_road</t>
        </is>
      </c>
      <c r="N45" s="17" t="inlineStr">
        <is>
          <t>ch_a07</t>
        </is>
      </c>
    </row>
    <row r="46">
      <c r="A46" s="17" t="inlineStr">
        <is>
          <t>ch_a09</t>
        </is>
      </c>
      <c r="B46" s="17" t="inlineStr">
        <is>
          <t>1</t>
        </is>
      </c>
      <c r="C46" s="17" t="inlineStr">
        <is>
          <t>assembly</t>
        </is>
      </c>
      <c r="D46" s="17" t="inlineStr">
        <is>
          <t>unified</t>
        </is>
      </c>
      <c r="E46" s="17" t="n">
        <v>9</v>
      </c>
      <c r="F46" s="17" t="inlineStr">
        <is>
          <t>The March Shrine</t>
        </is>
      </c>
      <c r="G46" s="17" t="inlineStr">
        <is>
          <t>map_a09</t>
        </is>
      </c>
      <c r="J46"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locations.loc_march_shrine (region_id=rgn_drowned_march, 'living prophecy; a sect that thinks revelation never stopped'). Directly sect_march's own doctrine ('New scripture is still arriving, dictated, in progress') and its own line 'Prophecy NPCs convert green levies' -- reused here almost verbatim: ea_conscript_levy as levies mid-conversion, not an invented enemy. Stays sect_id=None like every other Act1 chapter this session (sect attribution starts at Act2, ch_m21), even though the thematic tie to sect_march is the most direct of any Act1 gap chapter built so far.</t>
        </is>
      </c>
      <c r="K46" s="17" t="inlineStr">
        <is>
          <t>wondrous</t>
        </is>
      </c>
      <c r="L46" s="17" t="inlineStr">
        <is>
          <t>a shrine that keeps writing itself</t>
        </is>
      </c>
      <c r="M46" s="17" t="inlineStr">
        <is>
          <t>loc_march_shrine</t>
        </is>
      </c>
      <c r="N46" s="17" t="inlineStr">
        <is>
          <t>ch_a08</t>
        </is>
      </c>
    </row>
    <row r="47">
      <c r="A47" s="17" t="inlineStr">
        <is>
          <t>ch_a10</t>
        </is>
      </c>
      <c r="B47" s="17" t="inlineStr">
        <is>
          <t>1</t>
        </is>
      </c>
      <c r="C47" s="17" t="inlineStr">
        <is>
          <t>assembly</t>
        </is>
      </c>
      <c r="D47" s="17" t="inlineStr">
        <is>
          <t>unified</t>
        </is>
      </c>
      <c r="E47" s="17" t="n">
        <v>10</v>
      </c>
      <c r="F47" s="17" t="inlineStr">
        <is>
          <t>The King's Chapel, Vetch</t>
        </is>
      </c>
      <c r="G47" s="17" t="inlineStr">
        <is>
          <t>map_a10</t>
        </is>
      </c>
      <c r="J47" s="17" t="inlineStr">
        <is>
          <t>New (2026-09-25). Assembly route Act1 gap, found the same way the diadem batch was: auditing every locations row with acts containing '1' against the chapters tab -- 10 assembly locations are declared (chapters '1' through '10' in locations' own legacy numbering) but only ch_a01/a02/a03 existed as built chapters. locations.loc_vetch_chapel's Act1 occurrence (chapters='10, 12, 28', this is the '10'; region_id=rgn_drowned_march, 'the court sect at home; obedience belongs to the throne'). sects.sect_court's own seat is 'Kaisareia / Vetch' -- direct match. This location's chapter-12 occurrence is already built as ch_c21 'The Vetch Reunion' (Act2, sect_id=sect_court, 'ambushes at reunion' per that sect's own notes) -- same diadem/assembly pairing already established for ch_d10/ch_v21: this is assembly's Act1 finale, the first arrival, sect_id=None like the rest of Act1, not the sect-attributed Act2 return. VALIDATOR NOTE (2026-09-25): c09 now flags 3 consecutive 'seize' chapters on route='assembly' (ch_a08/a09/a10), and c15 flags a 6-chapter gap since the last warm/wondrous one reaching ch_a08. Same review already applied to the diadem batch: none of these locations' own text stated a non-seize objective or a warm/wondrous register, so both are left as-is rather than forcing unearned variety.</t>
        </is>
      </c>
      <c r="K47" s="17" t="inlineStr">
        <is>
          <t>grim</t>
        </is>
      </c>
      <c r="L47" s="17" t="inlineStr">
        <is>
          <t>a loyalist home front, first contact</t>
        </is>
      </c>
      <c r="M47" s="17" t="inlineStr">
        <is>
          <t>loc_vetch_chapel</t>
        </is>
      </c>
      <c r="N47" s="17" t="inlineStr">
        <is>
          <t>ch_a09</t>
        </is>
      </c>
    </row>
    <row r="48">
      <c r="A48" s="17" t="inlineStr">
        <is>
          <t>ch_k21</t>
        </is>
      </c>
      <c r="B48" s="17" t="inlineStr">
        <is>
          <t>3</t>
        </is>
      </c>
      <c r="C48" s="17" t="inlineStr">
        <is>
          <t>both</t>
        </is>
      </c>
      <c r="D48" s="17" t="inlineStr">
        <is>
          <t>unified</t>
        </is>
      </c>
      <c r="E48" s="17" t="n">
        <v>21</v>
      </c>
      <c r="F48" s="17" t="inlineStr">
        <is>
          <t>Kaisareia, the Granary District</t>
        </is>
      </c>
      <c r="G48" s="17" t="inlineStr">
        <is>
          <t>map_k21</t>
        </is>
      </c>
      <c r="H48" s="17" t="inlineStr">
        <is>
          <t>sect_court</t>
        </is>
      </c>
      <c r="J48" s="17" t="inlineStr">
        <is>
          <t>New (2026-09-25). Act3 gap audit: cross-referencing every locations row with acts containing '3' against the chapters tab found that most of them are Act1/2 locations REUSED in Act3 (chapters columns like '1, 26' or '18, 29') -- covered by maps.reuse_in_act3='yes' already set on 12 existing maps, and by the maps tab's own note ('Act 3 embeds reuse_in_act3 tilemaps into larger battlefields'), not a content gap. locations.loc_kaisareia_walls is the one genuine exception: acts='3' ONLY (chapters='21, 22'), no Act1/2 precedent -- 'Kaisareia, the granary district', 'the capital as a battlefield; the synod's colossus is fed from here'. This is chapter 21, the first of loc_kaisareia_walls' two entries. sect_id=sect_court, grounded in three independent facts: regions.rgn_center's own claimed_by_sect_id=sect_court; sects.sect_court's own notes call it explicitly the 'home-front thread'; and 'the capital as a battlefield' is that home front literally becoming one. 'The synod' reads as sect_court's own governing body -- 'synod' is an ecclesiastical council term, and sect_court is 'the school / the chapel', a clerical order -- though canon.xlsx never states this outright, flagged as an interpretive read, not a cited fact. objective_verb='defend' (turn_limit=10, matching map_e31's own Act3 defend precedent) -- holding the capital's own supply district against attackers.</t>
        </is>
      </c>
      <c r="K48" s="17" t="inlineStr">
        <is>
          <t>tense</t>
        </is>
      </c>
      <c r="L48" s="17" t="inlineStr">
        <is>
          <t>a home front, not a frontier</t>
        </is>
      </c>
      <c r="M48" s="17" t="inlineStr">
        <is>
          <t>loc_kaisareia_walls</t>
        </is>
      </c>
      <c r="N48" s="17" t="inlineStr">
        <is>
          <t>ch_rf20</t>
        </is>
      </c>
    </row>
    <row r="49">
      <c r="A49" s="17" t="inlineStr">
        <is>
          <t>ch_k22</t>
        </is>
      </c>
      <c r="B49" s="17" t="inlineStr">
        <is>
          <t>3</t>
        </is>
      </c>
      <c r="C49" s="17" t="inlineStr">
        <is>
          <t>both</t>
        </is>
      </c>
      <c r="D49" s="17" t="inlineStr">
        <is>
          <t>unified</t>
        </is>
      </c>
      <c r="E49" s="17" t="n">
        <v>22</v>
      </c>
      <c r="F49" s="17" t="inlineStr">
        <is>
          <t>What Feeds the Colossus</t>
        </is>
      </c>
      <c r="G49" s="17" t="inlineStr">
        <is>
          <t>map_k22</t>
        </is>
      </c>
      <c r="H49" s="17" t="inlineStr">
        <is>
          <t>sect_court</t>
        </is>
      </c>
      <c r="J49" s="17" t="inlineStr">
        <is>
          <t>New (2026-09-25). Act3 gap audit: cross-referencing every locations row with acts containing '3' against the chapters tab found that most of them are Act1/2 locations REUSED in Act3 (chapters columns like '1, 26' or '18, 29') -- covered by maps.reuse_in_act3='yes' already set on 12 existing maps, and by the maps tab's own note ('Act 3 embeds reuse_in_act3 tilemaps into larger battlefields'), not a content gap. locations.loc_kaisareia_walls is the one genuine exception: acts='3' ONLY (chapters='21, 22'), no Act1/2 precedent -- 'Kaisareia, the granary district', 'the capital as a battlefield; the synod's colossus is fed from here'. Chapter 22, the second and closing entry -- the district now embattled, the fight reaching what the location's own text calls 'the synod's colossus'. THEMATIC CROSS-REFERENCE, not resolved here: maps.map_e32_perverse (sect_road's end_perverse terminal) already names its own boss 'the colossus' ('assembled from what was taken -- a false godhood given a body'), and scenes.sc_e32_perverse calls the Idol's shape 'unmistakably the Hierophant's colossus too' -- three sects (sect_road's Idol, sect_march's Hierophant, and now sect_court's synod) each apparently building their own 'false godhood'. Whether these are the same colossus, echoes of one motif, or genuinely separate objects is NOT stated anywhere in canon.xlsx and is not decided here -- this chapter's own colossus (ter_statue reused for it, 'S', in map_k22.txt) is built as its own local landmark, not a claimed identity with the other two. objective_verb='seize' -- reach and secure what feeds it. VALIDATOR NOTE (2026-09-25): inserting ch_k21/ch_k22 between the existing Act2/Act3 numbering pushed c15's warm/wondrous-gap count further on every downstream Act3 chapter (ch_e32_sanctified/perverse, ch_h32-h34, ch_p_macuil). Reviewed, not fixed: neither ch_k21 ('tense') nor ch_k22 ('eerie') grounds to a warm or wondrous register on its own terms -- a home front under attack and a false-godhood reveal aren't warm material -- same call already made for every other tonal-pacing finding this session.</t>
        </is>
      </c>
      <c r="K49" s="17" t="inlineStr">
        <is>
          <t>eerie</t>
        </is>
      </c>
      <c r="L49" s="17" t="inlineStr">
        <is>
          <t>what a false godhood is actually made of</t>
        </is>
      </c>
      <c r="M49" s="17" t="inlineStr">
        <is>
          <t>loc_kaisareia_walls</t>
        </is>
      </c>
      <c r="N49" s="17" t="inlineStr">
        <is>
          <t>ch_k21</t>
        </is>
      </c>
    </row>
    <row r="50">
      <c r="A50" s="17" t="inlineStr">
        <is>
          <t>ch_ct19</t>
        </is>
      </c>
      <c r="B50" s="17" t="inlineStr">
        <is>
          <t>2</t>
        </is>
      </c>
      <c r="C50" s="17" t="inlineStr">
        <is>
          <t>both</t>
        </is>
      </c>
      <c r="D50" s="17" t="inlineStr">
        <is>
          <t>A</t>
        </is>
      </c>
      <c r="E50" s="17" t="n">
        <v>19</v>
      </c>
      <c r="F50" s="17" t="inlineStr">
        <is>
          <t>The Cinder Track</t>
        </is>
      </c>
      <c r="G50" s="17" t="inlineStr">
        <is>
          <t>map_ct19</t>
        </is>
      </c>
      <c r="J50" s="17" t="inlineStr">
        <is>
          <t>New (2026-09-25). Act2 gap audit: cross-referencing every locations row with acts containing '2' against the chapters tab and every built map's own terrain/design_note text (not just chapter numbers, which are known to diverge from locations' own legacy numbering -- confirmed again here: loc_caravanserai's two listed numbers, 13 and 15, both turned out to already be covered by the single built map_b15, whose terrain text -- 'caravanserai; awnings block flight, arcade blocks bows' -- matches it exactly; loc_muster_field/13,30 is ch_x11's own 'muster field, river with two crossings'; loc_vetch_chapel/12 is ch_c21; loc_vashti_gate/12 is ch_v21). Three locations had no such match anywhere in the 8 already-built Act2 maps' own text: locations.loc_cinder_track (region_id=rgn_ashland, column 'A', 'ash underfoot, bad air, the Karkadann's country'). 'The Karkadann's country' is flavor/atmosphere, not the creature itself -- ea_karkadann and the real encounter stay reserved for ch_p_karkadann's own paralogue. This is a waypoint crossing, not a sect-attributed chapter: rgn_ashland is sect_vashti's region, but sect_vashti's own act2_chapter_count=2 is already fully satisfied by ch_v21/v22, so this stays sect_id=None like ch_x11's own muster field -- shared Act2 content, not a third sect_vashti chapter. objective_verb='escape' (crossing the ash track), same mechanism as ch_p_huma/ch_d09's own road corridors.</t>
        </is>
      </c>
      <c r="K50" s="17" t="inlineStr">
        <is>
          <t>tense</t>
        </is>
      </c>
      <c r="L50" s="17" t="inlineStr">
        <is>
          <t>an ash crossing, no fixed foe</t>
        </is>
      </c>
      <c r="M50" s="17" t="inlineStr">
        <is>
          <t>loc_cinder_track</t>
        </is>
      </c>
      <c r="N50" s="17" t="inlineStr">
        <is>
          <t>ch_c21</t>
        </is>
      </c>
    </row>
    <row r="51">
      <c r="A51" s="17" t="inlineStr">
        <is>
          <t>ch_tp19</t>
        </is>
      </c>
      <c r="B51" s="17" t="inlineStr">
        <is>
          <t>2</t>
        </is>
      </c>
      <c r="C51" s="17" t="inlineStr">
        <is>
          <t>both</t>
        </is>
      </c>
      <c r="D51" s="17" t="inlineStr">
        <is>
          <t>B</t>
        </is>
      </c>
      <c r="E51" s="17" t="n">
        <v>19</v>
      </c>
      <c r="F51" s="17" t="inlineStr">
        <is>
          <t>The Throat Pass</t>
        </is>
      </c>
      <c r="G51" s="17" t="inlineStr">
        <is>
          <t>map_tp19</t>
        </is>
      </c>
      <c r="J51" s="17" t="inlineStr">
        <is>
          <t>New (2026-09-25). Act2 gap audit: cross-referencing every locations row with acts containing '2' against the chapters tab and every built map's own terrain/design_note text (not just chapter numbers, which are known to diverge from locations' own legacy numbering -- confirmed again here: loc_caravanserai's two listed numbers, 13 and 15, both turned out to already be covered by the single built map_b15, whose terrain text -- 'caravanserai; awnings block flight, arcade blocks bows' -- matches it exactly; loc_muster_field/13,30 is ch_x11's own 'muster field, river with two crossings'; loc_vetch_chapel/12 is ch_c21; loc_vashti_gate/12 is ch_v21). Three locations had no such match anywhere in the 8 already-built Act2 maps' own text: locations.loc_throat_pass (region_id=rgn_the_throat, column 'B', 'the road east, held by whoever taxes it this year'). Same narrative position as ch_ct19 (both number=19) -- the two columns' own parallel waypoints, matching the precedent Act1's diadem/assembly chapters already set by sharing numbers across parallel routes. rgn_the_throat is sect_road's own seat region, but sect_road's act2_chapter_count=2 is already satisfied by ch_b15/r16, so this stays sect_id=None too -- 'held by whoever taxes it this year' reads as contested/generic control, not sect_road's own declared toll-city (that's ch_r16). objective_verb='seize' -- the toll checkpoint itself is the thing to take.</t>
        </is>
      </c>
      <c r="K51" s="17" t="inlineStr">
        <is>
          <t>tense</t>
        </is>
      </c>
      <c r="L51" s="17" t="inlineStr">
        <is>
          <t>a toll held by force, not by law</t>
        </is>
      </c>
      <c r="M51" s="17" t="inlineStr">
        <is>
          <t>loc_throat_pass</t>
        </is>
      </c>
      <c r="N51" s="17" t="inlineStr">
        <is>
          <t>ch_b15</t>
        </is>
      </c>
    </row>
    <row r="52">
      <c r="A52" s="17" t="inlineStr">
        <is>
          <t>ch_rf20</t>
        </is>
      </c>
      <c r="B52" s="17" t="inlineStr">
        <is>
          <t>2</t>
        </is>
      </c>
      <c r="C52" s="17" t="inlineStr">
        <is>
          <t>both</t>
        </is>
      </c>
      <c r="D52" s="17" t="inlineStr">
        <is>
          <t>unified</t>
        </is>
      </c>
      <c r="E52" s="17" t="n">
        <v>20</v>
      </c>
      <c r="F52" s="17" t="inlineStr">
        <is>
          <t>The Reunion</t>
        </is>
      </c>
      <c r="G52" s="17" t="inlineStr">
        <is>
          <t>map_rf20</t>
        </is>
      </c>
      <c r="J52" s="17" t="inlineStr">
        <is>
          <t>New (2026-09-25). Act2 gap audit: cross-referencing every locations row with acts containing '2' against the chapters tab and every built map's own terrain/design_note text (not just chapter numbers, which are known to diverge from locations' own legacy numbering -- confirmed again here: loc_caravanserai's two listed numbers, 13 and 15, both turned out to already be covered by the single built map_b15, whose terrain text -- 'caravanserai; awnings block flight, arcade blocks bows' -- matches it exactly; loc_muster_field/13,30 is ch_x11's own 'muster field, river with two crossings'; loc_vetch_chapel/12 is ch_c21; loc_vashti_gate/12 is ch_v21). Three locations had no such match anywhere in the 8 already-built Act2 maps' own text: locations.loc_reunion_field (region_id=rgn_center, 'columns meet; whatever each lost is visible in what each brings') -- the ONE location tagged acts='2' with no companion Act1/3 number at all, and the only one without a column A/B split: this is where ch_ct19's and ch_tp19's own columns (and, structurally, Act1's diadem/assembly routes before them) converge back into Act2's own 'both'-route chapters. Considered building this as a non-battle special scene (matching ch_h32's own trial.gd/trial.tscn precedent, since 'whatever each lost is visible in what each brings' reads as reflective rather than combat-driven) but built as a standard map_grid battle instead, consistent with every other Act1-3 gap chapter this session -- a full skeleton first, a special non-battle treatment is future work, not invented here without being asked. objective_verb='seize' -- reach the reunion point itself, honest default.</t>
        </is>
      </c>
      <c r="K52" s="17" t="inlineStr">
        <is>
          <t>warm</t>
        </is>
      </c>
      <c r="L52" s="17" t="inlineStr">
        <is>
          <t>what each side kept, what each side lost</t>
        </is>
      </c>
      <c r="M52" s="17" t="inlineStr">
        <is>
          <t>loc_reunion_field</t>
        </is>
      </c>
      <c r="N52" s="17" t="inlineStr">
        <is>
          <t>ch_tp19|ch_ct19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16" customWidth="1" style="17" min="2" max="2"/>
    <col width="40" customWidth="1" style="17" min="3" max="3"/>
    <col width="16" customWidth="1" style="17" min="4" max="4"/>
    <col width="14" customWidth="1" style="17" min="5" max="5"/>
    <col width="18" customWidth="1" style="17" min="6" max="6"/>
    <col width="10" customWidth="1" style="18" min="7" max="7"/>
    <col width="14" customWidth="1" style="18" min="8" max="8"/>
    <col width="14" customWidth="1" style="18" min="9" max="9"/>
    <col width="28" customWidth="1" style="18" min="10" max="10"/>
    <col width="28" customWidth="1" style="18" min="11" max="11"/>
  </cols>
  <sheetData>
    <row r="1" ht="30" customHeight="1" s="18">
      <c r="A1" s="21" t="inlineStr">
        <is>
          <t>epithet_id</t>
        </is>
      </c>
      <c r="B1" s="21" t="inlineStr">
        <is>
          <t>deed_category</t>
        </is>
      </c>
      <c r="C1" s="21" t="inlineStr">
        <is>
          <t>trigger</t>
        </is>
      </c>
      <c r="D1" s="21" t="inlineStr">
        <is>
          <t>telemetry_source</t>
        </is>
      </c>
      <c r="E1" s="21" t="inlineStr">
        <is>
          <t>gates_paragon</t>
        </is>
      </c>
      <c r="F1" s="21" t="inlineStr">
        <is>
          <t>forge_vocab_token</t>
        </is>
      </c>
      <c r="G1" s="21" t="inlineStr">
        <is>
          <t>tracked</t>
        </is>
      </c>
      <c r="H1" s="21" t="inlineStr">
        <is>
          <t>count_needed</t>
        </is>
      </c>
      <c r="I1" s="21" t="inlineStr">
        <is>
          <t>deed_terrain</t>
        </is>
      </c>
      <c r="J1" s="21" t="inlineStr">
        <is>
          <t>weapon_form</t>
        </is>
      </c>
      <c r="K1" s="21" t="inlineStr">
        <is>
          <t>weapon_form_bare</t>
        </is>
      </c>
    </row>
    <row r="2" ht="15" customHeight="1" s="18">
      <c r="A2" s="23" t="inlineStr">
        <is>
          <t>ep_bosskill</t>
        </is>
      </c>
      <c r="B2" s="23" t="inlineStr">
        <is>
          <t>boss_kill</t>
        </is>
      </c>
      <c r="C2" s="23" t="inlineStr">
        <is>
          <t>kills a named boss in single combat</t>
        </is>
      </c>
      <c r="D2" s="23" t="inlineStr">
        <is>
          <t>combat log</t>
        </is>
      </c>
      <c r="E2" s="23" t="inlineStr">
        <is>
          <t>yes</t>
        </is>
      </c>
      <c r="F2" s="23" t="inlineStr">
        <is>
          <t>Slayer of</t>
        </is>
      </c>
      <c r="G2" s="32" t="inlineStr">
        <is>
          <t>yes</t>
        </is>
      </c>
      <c r="H2" s="17" t="n">
        <v>1</v>
      </c>
      <c r="J2" s="17" t="inlineStr">
        <is>
          <t>{BASE}, Slayer of {OBJECT}</t>
        </is>
      </c>
      <c r="K2" s="17" t="inlineStr">
        <is>
          <t>Slayer's {BASE}</t>
        </is>
      </c>
    </row>
    <row r="3" ht="15" customHeight="1" s="18">
      <c r="A3" s="23" t="inlineStr">
        <is>
          <t>ep_solohold</t>
        </is>
      </c>
      <c r="B3" s="23" t="inlineStr">
        <is>
          <t>solo_hold</t>
        </is>
      </c>
      <c r="C3" s="23" t="inlineStr">
        <is>
          <t>holds a choke alone for 3+ enemy phases</t>
        </is>
      </c>
      <c r="D3" s="23" t="inlineStr">
        <is>
          <t>position log</t>
        </is>
      </c>
      <c r="E3" s="23" t="inlineStr">
        <is>
          <t>yes</t>
        </is>
      </c>
      <c r="F3" s="23" t="inlineStr">
        <is>
          <t>of the Ford</t>
        </is>
      </c>
      <c r="G3" s="32" t="inlineStr">
        <is>
          <t>yes</t>
        </is>
      </c>
      <c r="H3" s="17" t="n">
        <v>1</v>
      </c>
      <c r="J3" s="17" t="inlineStr">
        <is>
          <t>{BASE} of the Ford</t>
        </is>
      </c>
    </row>
    <row r="4" ht="15" customHeight="1" s="18">
      <c r="A4" s="23" t="inlineStr">
        <is>
          <t>ep_nohit</t>
        </is>
      </c>
      <c r="B4" s="23" t="inlineStr">
        <is>
          <t>no_hit_map</t>
        </is>
      </c>
      <c r="C4" s="23" t="inlineStr">
        <is>
          <t>clears a map without being struck</t>
        </is>
      </c>
      <c r="D4" s="23" t="inlineStr">
        <is>
          <t>combat log</t>
        </is>
      </c>
      <c r="E4" s="23" t="inlineStr">
        <is>
          <t>yes</t>
        </is>
      </c>
      <c r="F4" s="23" t="inlineStr">
        <is>
          <t>Untouched</t>
        </is>
      </c>
      <c r="G4" s="32" t="inlineStr">
        <is>
          <t>yes</t>
        </is>
      </c>
      <c r="H4" s="17" t="n">
        <v>1</v>
      </c>
      <c r="J4" s="17" t="inlineStr">
        <is>
          <t>Untouched {BASE}</t>
        </is>
      </c>
    </row>
    <row r="5" ht="15" customHeight="1" s="18">
      <c r="A5" s="23" t="inlineStr">
        <is>
          <t>ep_miasma</t>
        </is>
      </c>
      <c r="B5" s="23" t="inlineStr">
        <is>
          <t>miasma_walked</t>
        </is>
      </c>
      <c r="C5" s="23" t="inlineStr">
        <is>
          <t>ends turn on miasma tiles 5+ times</t>
        </is>
      </c>
      <c r="D5" s="23" t="inlineStr">
        <is>
          <t>terrain log</t>
        </is>
      </c>
      <c r="E5" s="23" t="inlineStr">
        <is>
          <t>no</t>
        </is>
      </c>
      <c r="F5" s="23" t="inlineStr">
        <is>
          <t>Ash-walker</t>
        </is>
      </c>
      <c r="G5" s="32" t="inlineStr">
        <is>
          <t>yes</t>
        </is>
      </c>
      <c r="H5" s="17" t="n">
        <v>5</v>
      </c>
      <c r="I5" s="17" t="inlineStr">
        <is>
          <t>ter_miasma</t>
        </is>
      </c>
      <c r="J5" s="17" t="inlineStr">
        <is>
          <t>Ash-walker's {BASE}</t>
        </is>
      </c>
    </row>
    <row r="6" ht="15" customHeight="1" s="18">
      <c r="A6" s="23" t="inlineStr">
        <is>
          <t>ep_delivery</t>
        </is>
      </c>
      <c r="B6" s="23" t="inlineStr">
        <is>
          <t>delivery</t>
        </is>
      </c>
      <c r="C6" s="23" t="inlineStr">
        <is>
          <t>escorts a cargo unit to its goal</t>
        </is>
      </c>
      <c r="D6" s="23" t="inlineStr">
        <is>
          <t>objective log</t>
        </is>
      </c>
      <c r="E6" s="23" t="inlineStr">
        <is>
          <t>no</t>
        </is>
      </c>
      <c r="F6" s="23" t="inlineStr">
        <is>
          <t>Carter</t>
        </is>
      </c>
      <c r="G6" s="32" t="inlineStr">
        <is>
          <t>yes</t>
        </is>
      </c>
      <c r="H6" s="17" t="n">
        <v>1</v>
      </c>
      <c r="J6" s="17" t="inlineStr">
        <is>
          <t>Carter's {BASE}</t>
        </is>
      </c>
    </row>
    <row r="7" ht="15" customHeight="1" s="18">
      <c r="A7" s="23" t="inlineStr">
        <is>
          <t>ep_dispersal</t>
        </is>
      </c>
      <c r="B7" s="23" t="inlineStr">
        <is>
          <t>dispersal</t>
        </is>
      </c>
      <c r="C7" s="23" t="inlineStr">
        <is>
          <t>routs levies below half HP without killing</t>
        </is>
      </c>
      <c r="D7" s="23" t="inlineStr">
        <is>
          <t>combat log</t>
        </is>
      </c>
      <c r="E7" s="23" t="inlineStr">
        <is>
          <t>no</t>
        </is>
      </c>
      <c r="F7" s="23" t="inlineStr">
        <is>
          <t>Merciful</t>
        </is>
      </c>
      <c r="G7" s="32" t="inlineStr">
        <is>
          <t>yes</t>
        </is>
      </c>
      <c r="H7" s="17" t="n">
        <v>3</v>
      </c>
      <c r="J7" s="17" t="inlineStr">
        <is>
          <t>Merciful {BASE}</t>
        </is>
      </c>
    </row>
    <row r="8" ht="15" customHeight="1" s="18">
      <c r="A8" s="23" t="inlineStr">
        <is>
          <t>ep_talk</t>
        </is>
      </c>
      <c r="B8" s="23" t="inlineStr">
        <is>
          <t>talk</t>
        </is>
      </c>
      <c r="C8" s="23" t="inlineStr">
        <is>
          <t>resolves an enemy by conversation</t>
        </is>
      </c>
      <c r="D8" s="23" t="inlineStr">
        <is>
          <t>dialogue log</t>
        </is>
      </c>
      <c r="E8" s="23" t="inlineStr">
        <is>
          <t>no</t>
        </is>
      </c>
      <c r="F8" s="23" t="inlineStr">
        <is>
          <t>Peacemaker</t>
        </is>
      </c>
      <c r="G8" s="32" t="inlineStr">
        <is>
          <t>yes</t>
        </is>
      </c>
      <c r="H8" s="17" t="n">
        <v>1</v>
      </c>
      <c r="J8" s="17" t="inlineStr">
        <is>
          <t>Peacemaker's {BASE}</t>
        </is>
      </c>
    </row>
    <row r="9" ht="15" customHeight="1" s="18">
      <c r="A9" s="23" t="inlineStr">
        <is>
          <t>ep_capture</t>
        </is>
      </c>
      <c r="B9" s="23" t="inlineStr">
        <is>
          <t>capture</t>
        </is>
      </c>
      <c r="C9" s="23" t="inlineStr">
        <is>
          <t>captures rather than kills 5+ times</t>
        </is>
      </c>
      <c r="D9" s="23" t="inlineStr">
        <is>
          <t>combat log</t>
        </is>
      </c>
      <c r="E9" s="23" t="inlineStr">
        <is>
          <t>yes</t>
        </is>
      </c>
      <c r="F9" s="23" t="inlineStr">
        <is>
          <t>Taker</t>
        </is>
      </c>
      <c r="G9" s="32" t="inlineStr">
        <is>
          <t>yes</t>
        </is>
      </c>
      <c r="H9" s="17" t="n">
        <v>5</v>
      </c>
      <c r="J9" s="17" t="inlineStr">
        <is>
          <t>Taker's {BASE}</t>
        </is>
      </c>
    </row>
    <row r="11" ht="15" customHeight="1" s="18">
      <c r="A11" s="25" t="inlineStr">
        <is>
          <t>Pure performance telemetry, no rubber-banding. Feeds Paragon gating, forge vocabulary, Venerated evidence, boss pre-battle screens, and the deputy selection. ADDENDUM (2026-10-07): count_needed = how many times a deed must be recorded before it is earned (1 for most; ep_capture 5). ep_capture is now tracked (the Capture action). ADDENDUM (2026-10-12): deed_terrain names the terrain_costs row a terrain deed counts turn-ends on (ep_miasma: ter_miasma, 5 times). ep_miasma and ep_delivery are now tracked; neither gates paragon (forge vocabulary only). ADDENDUM (2026-10-13): ep_dispersal (3 levies routed) and ep_talk (1 enemy talked down) are now tracked; neither gates paragon.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7" min="1" max="1"/>
    <col width="10" customWidth="1" style="17" min="2" max="2"/>
    <col width="46" customWidth="1" style="17" min="3" max="3"/>
    <col width="18" customWidth="1" style="18" min="4" max="4"/>
  </cols>
  <sheetData>
    <row r="1" ht="30" customHeight="1" s="18">
      <c r="A1" s="21" t="inlineStr">
        <is>
          <t>factor</t>
        </is>
      </c>
      <c r="B1" s="21" t="inlineStr">
        <is>
          <t>weight</t>
        </is>
      </c>
      <c r="C1" s="21" t="inlineStr">
        <is>
          <t>rationale</t>
        </is>
      </c>
      <c r="D1" s="21" t="inlineStr">
        <is>
          <t>factor_id</t>
        </is>
      </c>
    </row>
    <row r="2" ht="15" customHeight="1" s="18">
      <c r="A2" s="23" t="inlineStr">
        <is>
          <t>writ chapter deed</t>
        </is>
      </c>
      <c r="B2" s="27" t="n">
        <v>2</v>
      </c>
      <c r="C2" s="23" t="inlineStr">
        <is>
          <t>main-story chapters only</t>
        </is>
      </c>
      <c r="D2" s="17" t="inlineStr">
        <is>
          <t>writ_deed</t>
        </is>
      </c>
    </row>
    <row r="3" ht="15" customHeight="1" s="18">
      <c r="A3" s="23" t="inlineStr">
        <is>
          <t>paralogue deed</t>
        </is>
      </c>
      <c r="B3" s="27" t="n">
        <v>0</v>
      </c>
      <c r="C3" s="23" t="inlineStr">
        <is>
          <t>unofficial work, off the books</t>
        </is>
      </c>
      <c r="D3" s="17" t="inlineStr">
        <is>
          <t>paralogue_deed</t>
        </is>
      </c>
    </row>
    <row r="4" ht="15" customHeight="1" s="18">
      <c r="A4" s="23" t="inlineStr">
        <is>
          <t>on stated objective</t>
        </is>
      </c>
      <c r="B4" s="27" t="n">
        <v>1</v>
      </c>
      <c r="C4" s="23" t="inlineStr">
        <is>
          <t>counts toward the map's briefed goal</t>
        </is>
      </c>
      <c r="D4" s="17" t="inlineStr">
        <is>
          <t>on_objective</t>
        </is>
      </c>
    </row>
    <row r="5" ht="15" customHeight="1" s="18">
      <c r="A5" s="23" t="inlineStr">
        <is>
          <t>within 4 tiles of surveyor</t>
        </is>
      </c>
      <c r="B5" s="27" t="n">
        <v>1</v>
      </c>
      <c r="C5" s="23" t="inlineStr">
        <is>
          <t>witnessed by the auditor</t>
        </is>
      </c>
      <c r="D5" s="17" t="inlineStr">
        <is>
          <t>witnessed</t>
        </is>
      </c>
    </row>
    <row r="6" ht="15" customHeight="1" s="18">
      <c r="A6" s="23" t="inlineStr">
        <is>
          <t>unwitnessed kill</t>
        </is>
      </c>
      <c r="B6" s="27" t="n">
        <v>0</v>
      </c>
      <c r="C6" s="23" t="inlineStr">
        <is>
          <t>far-corner heroics do not appear in the report</t>
        </is>
      </c>
      <c r="D6" s="17" t="inlineStr">
        <is>
          <t>unwitnessed_kill</t>
        </is>
      </c>
    </row>
    <row r="7" ht="15" customHeight="1" s="18">
      <c r="A7" s="23" t="inlineStr">
        <is>
          <t>delivery / hold / dispersal</t>
        </is>
      </c>
      <c r="B7" s="27" t="n">
        <v>1.5</v>
      </c>
      <c r="C7" s="23" t="inlineStr">
        <is>
          <t>legible categories outweigh kills</t>
        </is>
      </c>
      <c r="D7" s="17" t="inlineStr">
        <is>
          <t>legible</t>
        </is>
      </c>
    </row>
    <row r="8" ht="15" customHeight="1" s="18">
      <c r="A8" s="23" t="inlineStr">
        <is>
          <t>raw kill</t>
        </is>
      </c>
      <c r="B8" s="27" t="n">
        <v>0.5</v>
      </c>
      <c r="C8" s="23" t="inlineStr">
        <is>
          <t>hard to write down in a way that survives a clerk</t>
        </is>
      </c>
      <c r="D8" s="17" t="inlineStr">
        <is>
          <t>raw_kill</t>
        </is>
      </c>
    </row>
    <row r="9" ht="15" customHeight="1" s="18">
      <c r="A9" s="23" t="inlineStr">
        <is>
          <t>revealed literacy (tiebreak)</t>
        </is>
      </c>
      <c r="B9" s="27" t="n">
        <v>0.25</v>
      </c>
      <c r="C9" s="23" t="inlineStr">
        <is>
          <t>Ricberta only, and only if a support revealed it</t>
        </is>
      </c>
      <c r="D9" s="17" t="inlineStr">
        <is>
          <t>literacy</t>
        </is>
      </c>
    </row>
    <row r="11" ht="15" customHeight="1" s="18">
      <c r="A11" s="25" t="inlineStr">
        <is>
          <t>The crown picks the deputy off this. Player may contest once at the writ scene; the crown grants it and withholds Column B's supply attachment. ADDENDUM (2026-10-19): the game now runs this. factor_id names each row for the code. Scoring is ADDITIVE per event, on main-story (writ) chapters only: a deed earned = writ_deed (2); a delivery, solo hold or dispersal deed also = legible (1.5); a kill = raw_kill (0.5) if made within the surveyor radius, else unwitnessed_kill (0); finishing a map's stated objective (seizing, escaping, escorting, felling the boss of a defend map) = on_objective (1); ANY of those done within the surveyor radius also earns witnessed (1). The surveyor stands at the camp -- the middle of the deploy row -- since far-corner heroics 'do not appear in the report'. Paralogue deeds score paralogue_deed (0). literacy is added (not stored) once a support of Ricberta's has revealed it (supports.reveals / reveals_at_rank). The writ scene is ch_x11 (the Second Writ): the crown's pick is the highest score; the player may name another, once; the crown grants it and withholds Column B's supply attachment (drafted as gold: prm_column_b_supply_gold on each Column B chapter won). Highest score wins ties by canonical order.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22" customWidth="1" style="17" min="2" max="2"/>
    <col width="14" customWidth="1" style="17" min="3" max="3"/>
    <col width="8" customWidth="1" style="17" min="4" max="6"/>
    <col width="15" customWidth="1" style="17" min="7" max="7"/>
    <col width="48" customWidth="1" style="17" min="8" max="8"/>
  </cols>
  <sheetData>
    <row r="1" ht="30" customHeight="1" s="18">
      <c r="A1" s="21" t="inlineStr">
        <is>
          <t>npc_id</t>
        </is>
      </c>
      <c r="B1" s="21" t="inlineStr">
        <is>
          <t>name</t>
        </is>
      </c>
      <c r="C1" s="21" t="inlineStr">
        <is>
          <t>role</t>
        </is>
      </c>
      <c r="D1" s="21" t="inlineStr">
        <is>
          <t>act1</t>
        </is>
      </c>
      <c r="E1" s="21" t="inlineStr">
        <is>
          <t>act2</t>
        </is>
      </c>
      <c r="F1" s="21" t="inlineStr">
        <is>
          <t>act3</t>
        </is>
      </c>
      <c r="G1" s="21" t="inlineStr">
        <is>
          <t>canon_dependent</t>
        </is>
      </c>
      <c r="H1" s="21" t="inlineStr">
        <is>
          <t>notes</t>
        </is>
      </c>
    </row>
    <row r="2" ht="15" customHeight="1" s="18">
      <c r="A2" s="23" t="inlineStr">
        <is>
          <t>npc_carter</t>
        </is>
      </c>
      <c r="B2" s="23" t="inlineStr">
        <is>
          <t>the carter</t>
        </is>
      </c>
      <c r="C2" s="23" t="inlineStr">
        <is>
          <t>world troupe</t>
        </is>
      </c>
      <c r="D2" s="23" t="inlineStr">
        <is>
          <t>yes</t>
        </is>
      </c>
      <c r="E2" s="23" t="inlineStr">
        <is>
          <t>yes</t>
        </is>
      </c>
      <c r="F2" s="23" t="inlineStr">
        <is>
          <t>yes</t>
        </is>
      </c>
      <c r="G2" s="23" t="inlineStr">
        <is>
          <t>no</t>
        </is>
      </c>
      <c r="H2" s="23" t="inlineStr">
        <is>
          <t>the hidden god is fond of him</t>
        </is>
      </c>
    </row>
    <row r="3" ht="15" customHeight="1" s="18">
      <c r="A3" s="23" t="inlineStr">
        <is>
          <t>npc_soldier</t>
        </is>
      </c>
      <c r="B3" s="23" t="inlineStr">
        <is>
          <t>the pardoned soldier</t>
        </is>
      </c>
      <c r="C3" s="23" t="inlineStr">
        <is>
          <t>world troupe</t>
        </is>
      </c>
      <c r="D3" s="23" t="inlineStr">
        <is>
          <t>yes</t>
        </is>
      </c>
      <c r="E3" s="23" t="inlineStr">
        <is>
          <t>yes</t>
        </is>
      </c>
      <c r="F3" s="23" t="inlineStr">
        <is>
          <t>yes</t>
        </is>
      </c>
      <c r="G3" s="23" t="inlineStr">
        <is>
          <t>yes</t>
        </is>
      </c>
      <c r="H3" s="23" t="n"/>
    </row>
    <row r="4" ht="23.25" customHeight="1" s="18">
      <c r="A4" s="23" t="inlineStr">
        <is>
          <t>npc_surveyor</t>
        </is>
      </c>
      <c r="B4" s="23" t="inlineStr">
        <is>
          <t>the church surveyor</t>
        </is>
      </c>
      <c r="C4" s="23" t="inlineStr">
        <is>
          <t>world troupe</t>
        </is>
      </c>
      <c r="D4" s="23" t="inlineStr">
        <is>
          <t>yes</t>
        </is>
      </c>
      <c r="E4" s="23" t="inlineStr">
        <is>
          <t>yes</t>
        </is>
      </c>
      <c r="F4" s="23" t="inlineStr">
        <is>
          <t>yes</t>
        </is>
      </c>
      <c r="G4" s="23" t="inlineStr">
        <is>
          <t>no</t>
        </is>
      </c>
      <c r="H4" s="23" t="inlineStr">
        <is>
          <t>revealed at ch_x11 as the crown's auditor; retroactively load-bearing</t>
        </is>
      </c>
    </row>
    <row r="5" ht="15" customHeight="1" s="18">
      <c r="A5" s="23" t="inlineStr">
        <is>
          <t>npc_heir</t>
        </is>
      </c>
      <c r="B5" s="23" t="inlineStr">
        <is>
          <t>the heir</t>
        </is>
      </c>
      <c r="C5" s="23" t="inlineStr">
        <is>
          <t>world troupe</t>
        </is>
      </c>
      <c r="D5" s="23" t="inlineStr">
        <is>
          <t>yes</t>
        </is>
      </c>
      <c r="E5" s="23" t="inlineStr">
        <is>
          <t>yes</t>
        </is>
      </c>
      <c r="F5" s="23" t="inlineStr">
        <is>
          <t>yes</t>
        </is>
      </c>
      <c r="G5" s="23" t="inlineStr">
        <is>
          <t>yes</t>
        </is>
      </c>
      <c r="H5" s="23" t="n"/>
    </row>
    <row r="6" ht="15" customHeight="1" s="18">
      <c r="A6" s="23" t="inlineStr">
        <is>
          <t>npc_errand</t>
        </is>
      </c>
      <c r="B6" s="23" t="inlineStr">
        <is>
          <t>the small odd traveler</t>
        </is>
      </c>
      <c r="C6" s="23" t="inlineStr">
        <is>
          <t>hidden god</t>
        </is>
      </c>
      <c r="D6" s="23" t="inlineStr">
        <is>
          <t>yes</t>
        </is>
      </c>
      <c r="E6" s="23" t="inlineStr">
        <is>
          <t>yes</t>
        </is>
      </c>
      <c r="F6" s="23" t="inlineStr">
        <is>
          <t>yes</t>
        </is>
      </c>
      <c r="G6" s="23" t="inlineStr">
        <is>
          <t>no</t>
        </is>
      </c>
      <c r="H6" s="23" t="inlineStr">
        <is>
          <t>Emmaus register; zero mechanical payoff; never confirmed</t>
        </is>
      </c>
    </row>
    <row r="7" ht="15" customHeight="1" s="18">
      <c r="A7" s="23" t="inlineStr">
        <is>
          <t>npc_macuil</t>
        </is>
      </c>
      <c r="B7" s="23" t="inlineStr">
        <is>
          <t>Macuil</t>
        </is>
      </c>
      <c r="C7" s="23" t="inlineStr">
        <is>
          <t>hermit saint</t>
        </is>
      </c>
      <c r="D7" s="23" t="inlineStr">
        <is>
          <t>no</t>
        </is>
      </c>
      <c r="E7" s="23" t="inlineStr">
        <is>
          <t>no</t>
        </is>
      </c>
      <c r="F7" s="23" t="inlineStr">
        <is>
          <t>yes</t>
        </is>
      </c>
      <c r="G7" s="23" t="inlineStr">
        <is>
          <t>no</t>
        </is>
      </c>
      <c r="H7" s="23" t="inlineStr">
        <is>
          <t>the north wind winds; paralogue capstone; refuses to adjudicate sect_march CORRECTED (2026-09-24, reassigned from an earlier wrong sect_coast claim -- see ch_p_macuil's own note) as the sect whose paralogue this is, via locations.loc_north_wind (region_id=rgn_drowned_march, 'the second hermit; likewise refuses'), matching both this chapter's title and that region's own direction='north'.</t>
        </is>
      </c>
    </row>
    <row r="8" ht="15" customHeight="1" s="18">
      <c r="A8" s="23" t="inlineStr">
        <is>
          <t>npc_indech</t>
        </is>
      </c>
      <c r="B8" s="23" t="inlineStr">
        <is>
          <t>Indech</t>
        </is>
      </c>
      <c r="C8" s="23" t="inlineStr">
        <is>
          <t>hermit saint</t>
        </is>
      </c>
      <c r="D8" s="23" t="inlineStr">
        <is>
          <t>no</t>
        </is>
      </c>
      <c r="E8" s="23" t="inlineStr">
        <is>
          <t>no</t>
        </is>
      </c>
      <c r="F8" s="23" t="inlineStr">
        <is>
          <t>yes</t>
        </is>
      </c>
      <c r="G8" s="23" t="inlineStr">
        <is>
          <t>no</t>
        </is>
      </c>
      <c r="H8" s="23" t="inlineStr">
        <is>
          <t>his lake, fisher cult; paralogue capstone; refuses to adjudicate sect_coast CONFIRMED (2026-09-23, corrected from an earlier wrong 'no connection' claim -- see ch_p_indech's own note) as the sect whose paralogue this is, via locations.loc_hermit_lake/polities.pol_isles/settlements.set_pelagos, all region_id=rgn_stepped_coast, the same region already confirmed for npc_macuil.</t>
        </is>
      </c>
    </row>
    <row r="9" ht="225.35" customHeight="1" s="18">
      <c r="A9" s="23" t="inlineStr">
        <is>
          <t>npc_methodios</t>
        </is>
      </c>
      <c r="B9" s="23" t="inlineStr">
        <is>
          <t>Methodios</t>
        </is>
      </c>
      <c r="C9" s="23" t="inlineStr">
        <is>
          <t>prophet; herald of the Hierophant</t>
        </is>
      </c>
      <c r="D9" s="23" t="inlineStr">
        <is>
          <t>no</t>
        </is>
      </c>
      <c r="E9" s="23" t="inlineStr">
        <is>
          <t>yes</t>
        </is>
      </c>
      <c r="F9" s="23" t="inlineStr">
        <is>
          <t>yes</t>
        </is>
      </c>
      <c r="G9" s="23" t="inlineStr">
        <is>
          <t>no</t>
        </is>
      </c>
      <c r="H9" s="23" t="inlineStr">
        <is>
          <t>SABBATAI ZEVI SPLIT IN TWO: the Hierophant carries the claimant's volatility (real cycles of exaltation and collapse, not villain theatrics); Methodios is the Nathan of Gaza figure -- did not originate the claim, proselytized it across Act 2 (his preaching is the actual mechanism that produces sect consolidation; he is embedded in sect_march, RESOLVING the 'which sect' question on the Hierophant ending (RESOLVED 2026-09-23, see the_hierophant tab)). NOT RECRUITABLE by design -- his function depends on staying devoted after the party wins. Survives the capture/trial regardless of verdict and is the one who decides, theologically, what defeat means: reframes mercy as a hidden necessary descent (subterfuge route) or reframes execution as betrayal with no ambiguity left to manage (attrition-war route). Named for Cyril and Methodios, missionaries who invented a script specifically to translate scripture for people who'd never had access to it -- his function is the same one degree removed: translating a person's volatility into a doctrine other people can hold</t>
        </is>
      </c>
    </row>
    <row r="10" ht="15" customHeight="1" s="18">
      <c r="A10" s="25" t="inlineStr">
        <is>
          <t>Troupe rules: 1+ appearance per act, diegetic, never plot-critical, at least two meet on screen.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2" customWidth="1" style="17" min="2" max="2"/>
    <col width="14" customWidth="1" style="17" min="3" max="3"/>
    <col width="24" customWidth="1" style="17" min="4" max="4"/>
    <col width="18" customWidth="1" style="17" min="5" max="5"/>
    <col width="20" customWidth="1" style="17" min="6" max="6"/>
    <col width="46" customWidth="1" style="17" min="7" max="7"/>
    <col width="12" customWidth="1" style="17" min="8" max="9"/>
  </cols>
  <sheetData>
    <row r="1" ht="30" customHeight="1" s="18">
      <c r="A1" s="21" t="inlineStr">
        <is>
          <t>scene_id</t>
        </is>
      </c>
      <c r="B1" s="21" t="inlineStr">
        <is>
          <t>chapter_id</t>
        </is>
      </c>
      <c r="C1" s="21" t="inlineStr">
        <is>
          <t>type</t>
        </is>
      </c>
      <c r="D1" s="21" t="inlineStr">
        <is>
          <t>speaker_ids</t>
        </is>
      </c>
      <c r="E1" s="21" t="inlineStr">
        <is>
          <t>depends_on_flags</t>
        </is>
      </c>
      <c r="F1" s="21" t="inlineStr">
        <is>
          <t>depends_on_units</t>
        </is>
      </c>
      <c r="G1" s="21" t="inlineStr">
        <is>
          <t>summary</t>
        </is>
      </c>
      <c r="H1" s="21" t="inlineStr">
        <is>
          <t>status</t>
        </is>
      </c>
      <c r="I1" s="21" t="inlineStr">
        <is>
          <t>word_count</t>
        </is>
      </c>
    </row>
    <row r="2" ht="23.25" customHeight="1" s="18">
      <c r="A2" s="23" t="inlineStr">
        <is>
          <t>sc_x11_writ</t>
        </is>
      </c>
      <c r="B2" s="23" t="inlineStr">
        <is>
          <t>ch_x11</t>
        </is>
      </c>
      <c r="C2" s="23" t="inlineStr">
        <is>
          <t>post-battle</t>
        </is>
      </c>
      <c r="D2" s="23" t="inlineStr">
        <is>
          <t>u_avatar|npc_surveyor</t>
        </is>
      </c>
      <c r="E2" s="23" t="n"/>
      <c r="F2" s="23" t="inlineStr">
        <is>
          <t>u_ricberta|u_emmerich</t>
        </is>
      </c>
      <c r="G2" s="23" t="inlineStr">
        <is>
          <t>the writ is read; the deputy is named; the auditor reveals himself</t>
        </is>
      </c>
      <c r="H2" s="23" t="inlineStr">
        <is>
          <t>drafted</t>
        </is>
      </c>
      <c r="I2" s="23" t="n">
        <v>0</v>
      </c>
    </row>
    <row r="3">
      <c r="A3" s="23" t="inlineStr">
        <is>
          <t>sc_e31_ledger</t>
        </is>
      </c>
      <c r="B3" s="23" t="inlineStr">
        <is>
          <t>ch_e31</t>
        </is>
      </c>
      <c r="C3" s="23" t="inlineStr">
        <is>
          <t>pre-battle</t>
        </is>
      </c>
      <c r="D3" s="23" t="inlineStr">
        <is>
          <t>u_avatar</t>
        </is>
      </c>
      <c r="E3" s="23" t="inlineStr">
        <is>
          <t>flag_deaths</t>
        </is>
      </c>
      <c r="F3" s="23" t="inlineStr">
        <is>
          <t>u_maren|u_kest</t>
        </is>
      </c>
      <c r="G3" s="23" t="inlineStr">
        <is>
          <t>the avatar reviews what Act 1-2 choices bought and cost; ascension_signals' hidden telemetry (sig_defection_handling, sig_kest_restitution) starts reading here, invisibly</t>
        </is>
      </c>
      <c r="H3" s="23" t="inlineStr">
        <is>
          <t>drafted</t>
        </is>
      </c>
      <c r="I3" s="23" t="n">
        <v>0</v>
      </c>
    </row>
    <row r="4" ht="15" customHeight="1" s="18">
      <c r="A4" s="23" t="inlineStr">
        <is>
          <t>sc_e32_sanctified</t>
        </is>
      </c>
      <c r="B4" s="23" t="inlineStr">
        <is>
          <t>ch_e32_sanctified</t>
        </is>
      </c>
      <c r="C4" s="23" t="inlineStr">
        <is>
          <t>post-battle</t>
        </is>
      </c>
      <c r="D4" s="23" t="inlineStr">
        <is>
          <t>u_avatar</t>
        </is>
      </c>
      <c r="E4" s="23" t="n"/>
      <c r="F4" s="23" t="n"/>
      <c r="G4" s="23" t="inlineStr">
        <is>
          <t>the deposed patrons fall; no one strikes down the Enlightened One himself; the avatar watches a true good ending still cost the plurality something</t>
        </is>
      </c>
      <c r="H4" s="23" t="inlineStr">
        <is>
          <t>drafted</t>
        </is>
      </c>
      <c r="I4" s="23" t="n">
        <v>0</v>
      </c>
    </row>
    <row r="5">
      <c r="A5" s="23" t="inlineStr">
        <is>
          <t>sc_e32_perverse</t>
        </is>
      </c>
      <c r="B5" s="23" t="inlineStr">
        <is>
          <t>ch_e32_perverse</t>
        </is>
      </c>
      <c r="C5" s="23" t="inlineStr">
        <is>
          <t>post-battle</t>
        </is>
      </c>
      <c r="D5" s="23" t="inlineStr">
        <is>
          <t>u_avatar</t>
        </is>
      </c>
      <c r="E5" s="23" t="n"/>
      <c r="F5" s="23" t="n"/>
      <c r="G5" s="23" t="inlineStr">
        <is>
          <t>the avatar faces him directly; the Idol's shape is unmistakably the Hierophant's colossus too; victory reads as exposure, not martyrdom</t>
        </is>
      </c>
      <c r="H5" s="23" t="inlineStr">
        <is>
          <t>drafted</t>
        </is>
      </c>
      <c r="I5" s="23" t="n">
        <v>0</v>
      </c>
    </row>
    <row r="6">
      <c r="A6" s="23" t="inlineStr">
        <is>
          <t>sc_h31_capture</t>
        </is>
      </c>
      <c r="B6" s="23" t="inlineStr">
        <is>
          <t>ch_h31</t>
        </is>
      </c>
      <c r="C6" s="23" t="inlineStr">
        <is>
          <t>post-battle</t>
        </is>
      </c>
      <c r="D6" s="23" t="inlineStr">
        <is>
          <t>u_avatar|npc_methodios</t>
        </is>
      </c>
      <c r="E6" s="23" t="n"/>
      <c r="F6" s="23" t="n"/>
      <c r="G6" s="23" t="inlineStr">
        <is>
          <t>the defense scenario ends in capture, not a kill; Methodios watches his claimant taken alive, and says nothing yet</t>
        </is>
      </c>
      <c r="H6" s="23" t="inlineStr">
        <is>
          <t>drafted</t>
        </is>
      </c>
      <c r="I6" s="23" t="n">
        <v>0</v>
      </c>
    </row>
    <row r="7">
      <c r="A7" s="23" t="inlineStr">
        <is>
          <t>sc_h32_trial</t>
        </is>
      </c>
      <c r="B7" s="23" t="inlineStr">
        <is>
          <t>ch_h32</t>
        </is>
      </c>
      <c r="C7" s="23" t="inlineStr">
        <is>
          <t>narrative</t>
        </is>
      </c>
      <c r="D7" s="23" t="inlineStr">
        <is>
          <t>u_avatar|npc_methodios</t>
        </is>
      </c>
      <c r="E7" s="23" t="n"/>
      <c r="F7" s="23" t="n"/>
      <c r="G7" s="23" t="inlineStr">
        <is>
          <t>the Diadem convenes at Kaisareia; the avatar (or whoever holds the relevant commission) recommends sentence; SETS flag_hierophant_verdict (mercy | execution), forking to ch_h33_mercy or ch_h34_war1</t>
        </is>
      </c>
      <c r="H7" s="23" t="inlineStr">
        <is>
          <t>drafted</t>
        </is>
      </c>
      <c r="I7" s="23" t="n">
        <v>0</v>
      </c>
    </row>
    <row r="8">
      <c r="A8" s="23" t="inlineStr">
        <is>
          <t>sc_h33_mercy_subterfuge</t>
        </is>
      </c>
      <c r="B8" s="23" t="inlineStr">
        <is>
          <t>ch_h33_mercy</t>
        </is>
      </c>
      <c r="C8" s="23" t="inlineStr">
        <is>
          <t>pre-battle</t>
        </is>
      </c>
      <c r="D8" s="23" t="inlineStr">
        <is>
          <t>u_avatar|npc_methodios</t>
        </is>
      </c>
      <c r="E8" s="23" t="inlineStr">
        <is>
          <t>flag_hierophant_verdict</t>
        </is>
      </c>
      <c r="F8" s="23" t="n"/>
      <c r="G8" s="23" t="inlineStr">
        <is>
          <t>Methodios reframes the capitulation as a hidden necessary descent, not a defeat; the movement goes to ground; a second battle is already forming</t>
        </is>
      </c>
      <c r="H8" s="23" t="inlineStr">
        <is>
          <t>drafted</t>
        </is>
      </c>
      <c r="I8" s="23" t="n">
        <v>0</v>
      </c>
    </row>
    <row r="9">
      <c r="A9" s="23" t="inlineStr">
        <is>
          <t>sc_h34_war1</t>
        </is>
      </c>
      <c r="B9" s="23" t="inlineStr">
        <is>
          <t>ch_h34_war1</t>
        </is>
      </c>
      <c r="C9" s="23" t="inlineStr">
        <is>
          <t>pre-battle</t>
        </is>
      </c>
      <c r="D9" s="23" t="inlineStr">
        <is>
          <t>u_avatar</t>
        </is>
      </c>
      <c r="E9" s="23" t="inlineStr">
        <is>
          <t>flag_hierophant_verdict</t>
        </is>
      </c>
      <c r="F9" s="23" t="n"/>
      <c r="G9" s="23" t="inlineStr">
        <is>
          <t>the first fractured region takes up arms; a former ally's banner now marks an enemy den</t>
        </is>
      </c>
      <c r="H9" s="23" t="inlineStr">
        <is>
          <t>drafted</t>
        </is>
      </c>
      <c r="I9" s="23" t="n">
        <v>0</v>
      </c>
    </row>
    <row r="10">
      <c r="A10" s="23" t="inlineStr">
        <is>
          <t>sc_h34_war2</t>
        </is>
      </c>
      <c r="B10" s="23" t="inlineStr">
        <is>
          <t>ch_h34_war2</t>
        </is>
      </c>
      <c r="C10" s="23" t="inlineStr">
        <is>
          <t>pre-battle</t>
        </is>
      </c>
      <c r="D10" s="23" t="inlineStr">
        <is>
          <t>u_avatar</t>
        </is>
      </c>
      <c r="E10" s="23" t="inlineStr">
        <is>
          <t>flag_hierophant_verdict</t>
        </is>
      </c>
      <c r="F10" s="23" t="n"/>
      <c r="G10" s="23" t="inlineStr">
        <is>
          <t>a second front opens; the avatar counts what the sentence chosen at Kaisareia is actually costing, region by region</t>
        </is>
      </c>
      <c r="H10" s="23" t="inlineStr">
        <is>
          <t>drafted</t>
        </is>
      </c>
      <c r="I10" s="23" t="n">
        <v>0</v>
      </c>
    </row>
    <row r="11">
      <c r="A11" s="23" t="inlineStr">
        <is>
          <t>sc_h34_war3_reckoning</t>
        </is>
      </c>
      <c r="B11" s="23" t="inlineStr">
        <is>
          <t>ch_h34_war3</t>
        </is>
      </c>
      <c r="C11" s="23" t="inlineStr">
        <is>
          <t>post-battle</t>
        </is>
      </c>
      <c r="D11" s="23" t="inlineStr">
        <is>
          <t>u_avatar|npc_methodios</t>
        </is>
      </c>
      <c r="E11" s="23" t="inlineStr">
        <is>
          <t>flag_hierophant_verdict</t>
        </is>
      </c>
      <c r="F11" s="23" t="n"/>
      <c r="G11" s="23" t="inlineStr">
        <is>
          <t>the war's last field; Methodios names the killing a betrayal, not a verdict, and means it</t>
        </is>
      </c>
      <c r="H11" s="23" t="inlineStr">
        <is>
          <t>drafted</t>
        </is>
      </c>
      <c r="I11" s="23" t="n">
        <v>0</v>
      </c>
    </row>
    <row r="12">
      <c r="A12" s="23" t="inlineStr">
        <is>
          <t>sc_p_macuil</t>
        </is>
      </c>
      <c r="B12" s="23" t="inlineStr">
        <is>
          <t>ch_p_macuil</t>
        </is>
      </c>
      <c r="C12" s="23" t="inlineStr">
        <is>
          <t>post-battle</t>
        </is>
      </c>
      <c r="D12" s="23" t="inlineStr">
        <is>
          <t>u_avatar|npc_macuil</t>
        </is>
      </c>
      <c r="E12" s="23" t="inlineStr">
        <is>
          <t>flag_deaths</t>
        </is>
      </c>
      <c r="F12" s="23" t="n"/>
      <c r="G12" s="23" t="inlineStr">
        <is>
          <t>Macuil offers both explanations for the drowned valley -- divine judgment on the old seat, or the ground simply dropping, per rgn_drowned_march's own explanation_sacred/explanation_material -- and refuses to say which one is true; 'the north wind winds' reads as much like weather passing over an unanswered question as it does a location. 'Dark in some runs' (this sect's own doctrine language, reused the way sc_p_indech's summary reuses it for sect_coast) reads off flag_deaths: a costly run hears his silence as an indictment, a clean one hears it as genuine refusal to judge -- same words either way, matching sect_march's own wild cosmology just as closely as the earlier, wrong-region draft matched sect_coast's renunciation -- Macuil's personal refusal to adjudicate isn't itself sect doctrine, so the device transfers regardless of which sect actually claims the ground he stands on.</t>
        </is>
      </c>
      <c r="H12" s="23" t="inlineStr">
        <is>
          <t>drafted</t>
        </is>
      </c>
      <c r="I12" s="23" t="n">
        <v>0</v>
      </c>
    </row>
    <row r="13">
      <c r="A13" s="23" t="inlineStr">
        <is>
          <t>sc_p_indech</t>
        </is>
      </c>
      <c r="B13" s="23" t="inlineStr">
        <is>
          <t>ch_p_indech</t>
        </is>
      </c>
      <c r="C13" s="23" t="inlineStr">
        <is>
          <t>post-battle</t>
        </is>
      </c>
      <c r="D13" s="23" t="inlineStr">
        <is>
          <t>u_avatar|npc_indech</t>
        </is>
      </c>
      <c r="E13" s="23" t="inlineStr">
        <is>
          <t>flag_deaths</t>
        </is>
      </c>
      <c r="F13" s="23" t="n"/>
      <c r="G13" s="23" t="inlineStr">
        <is>
          <t>Indech's fisher cult reads the lake for an answer it may not actually contain -- same refusal-to-adjudicate as Macuil (teaches_system's shared line), here through water instead of stone; 'dark in some runs' (sects.sect_coast's own note, now applying to both its paralogues) reads off flag_deaths the same way sc_p_macuil's summary does: a costly crossing of the ford reads the cult's silence as an indictment, a clean one reads it as genuine renunciation, same words either way.</t>
        </is>
      </c>
      <c r="H13" s="23" t="inlineStr">
        <is>
          <t>drafted</t>
        </is>
      </c>
      <c r="I13" s="23" t="n">
        <v>0</v>
      </c>
    </row>
    <row r="14">
      <c r="A14" s="17" t="inlineStr">
        <is>
          <t>sc_p_shadhavar</t>
        </is>
      </c>
      <c r="B14" s="17" t="inlineStr">
        <is>
          <t>ch_p_shadhavar</t>
        </is>
      </c>
      <c r="C14" s="17" t="inlineStr">
        <is>
          <t>post-battle</t>
        </is>
      </c>
      <c r="D14" s="17" t="inlineStr">
        <is>
          <t>u_avatar</t>
        </is>
      </c>
      <c r="G14" s="17" t="inlineStr">
        <is>
          <t>No hermit here to refuse an answer -- the Shadhavar doesn't judge, it lures, and named.nmd_shadhavar is explicit the lure is what it IS, not a performance: the song plays whether or not anyone is meant to hear it. The avatar reaches the lowest terrace already knowing capture is a category error for this one -- 'uncontrolled by design' (its own defection_trigger) means nothing here is actually decided by the player's approach, only witnessed.</t>
        </is>
      </c>
      <c r="H14" s="17" t="inlineStr">
        <is>
          <t>drafted</t>
        </is>
      </c>
      <c r="I14" s="17" t="n">
        <v>0</v>
      </c>
    </row>
    <row r="15">
      <c r="A15" s="17" t="inlineStr">
        <is>
          <t>sc_p_simurgh</t>
        </is>
      </c>
      <c r="B15" s="17" t="inlineStr">
        <is>
          <t>ch_p_simurgh</t>
        </is>
      </c>
      <c r="C15" s="17" t="inlineStr">
        <is>
          <t>post-battle</t>
        </is>
      </c>
      <c r="D15" s="17" t="inlineStr">
        <is>
          <t>u_avatar</t>
        </is>
      </c>
      <c r="G15" s="17" t="inlineStr">
        <is>
          <t>The feather is not here to be picked up -- named.nmd_simurgh is explicit she 'answers whoever holds the feather', past tense already decided, and nothing in this chapter's own grounding gives the avatar one. She watches from the nest and does not descend; 'cleanses corruption... will not do it on request' reads as the same shape of refusal sect_march's own hermit gives two ridges over, gentler in tone but just as final.</t>
        </is>
      </c>
      <c r="H15" s="17" t="inlineStr">
        <is>
          <t>drafted</t>
        </is>
      </c>
      <c r="I15" s="17" t="n">
        <v>0</v>
      </c>
    </row>
    <row r="16">
      <c r="A16" s="17" t="inlineStr">
        <is>
          <t>sc_p_karkadann</t>
        </is>
      </c>
      <c r="B16" s="17" t="inlineStr">
        <is>
          <t>ch_p_karkadann</t>
        </is>
      </c>
      <c r="C16" s="17" t="inlineStr">
        <is>
          <t>post-battle</t>
        </is>
      </c>
      <c r="D16" s="17" t="inlineStr">
        <is>
          <t>u_avatar</t>
        </is>
      </c>
      <c r="G16" s="17" t="inlineStr">
        <is>
          <t>No feather, no fisher cult, no refusal to judge -- the Karkadann's terms are the simplest of the Named's: it guards the doves, and nothing it has not decided to protect matters to it either way. named.nmd_karkadann's own notes call it 'the plain one on purpose', and the avatar leaves the clearing without a riddle to carry, just the doves, still there, still guarded, whether or not that was ever in question.</t>
        </is>
      </c>
      <c r="H16" s="17" t="inlineStr">
        <is>
          <t>drafted</t>
        </is>
      </c>
      <c r="I16" s="17" t="n">
        <v>0</v>
      </c>
    </row>
    <row r="17">
      <c r="A17" s="17" t="inlineStr">
        <is>
          <t>sc_p_anzu</t>
        </is>
      </c>
      <c r="B17" s="17" t="inlineStr">
        <is>
          <t>ch_p_anzu</t>
        </is>
      </c>
      <c r="C17" s="17" t="inlineStr">
        <is>
          <t>post-battle</t>
        </is>
      </c>
      <c r="D17" s="17" t="inlineStr">
        <is>
          <t>u_avatar</t>
        </is>
      </c>
      <c r="G17" s="17" t="inlineStr">
        <is>
          <t>Visible from the moment you cross the edge -- 'a single figure legible at distance' (rgn_glass_flats' own texture) -- and no closer for it. named.nmd_anzu contracts with whoever can read the register, not whoever owns it or beats it; the avatar reaches the interior already unsure which of those the fight itself was ever supposed to prove.</t>
        </is>
      </c>
      <c r="H17" s="17" t="inlineStr">
        <is>
          <t>drafted</t>
        </is>
      </c>
      <c r="I17" s="17" t="n">
        <v>0</v>
      </c>
    </row>
    <row r="18">
      <c r="A18" s="17" t="inlineStr">
        <is>
          <t>sc_p_huma</t>
        </is>
      </c>
      <c r="B18" s="17" t="inlineStr">
        <is>
          <t>ch_p_huma</t>
        </is>
      </c>
      <c r="C18" s="17" t="inlineStr">
        <is>
          <t>post-battle</t>
        </is>
      </c>
      <c r="D18" s="17" t="inlineStr">
        <is>
          <t>u_avatar</t>
        </is>
      </c>
      <c r="G18" s="17" t="inlineStr">
        <is>
          <t>Nothing lands. named.nmd_huma is explicit it never does -- 'cannot be owned, only flown under', and whatever unit its shadow crossed on the way east carries that the rest of the way, unasked and unrefusable. No fight for it, no pact, no register to sign -- sect_road's own doctrine ('the payment has already been made, on your behalf, and you were not consulted') describes the Huma's blessing as exactly as it describes their god's.</t>
        </is>
      </c>
      <c r="H18" s="17" t="inlineStr">
        <is>
          <t>drafted</t>
        </is>
      </c>
      <c r="I18" s="17" t="n">
        <v>0</v>
      </c>
    </row>
    <row r="19">
      <c r="A19" s="17" t="inlineStr">
        <is>
          <t>sc_p_buried_works</t>
        </is>
      </c>
      <c r="B19" s="17" t="inlineStr">
        <is>
          <t>ch_p_buried_works</t>
        </is>
      </c>
      <c r="C19" s="17" t="inlineStr">
        <is>
          <t>post-battle</t>
        </is>
      </c>
      <c r="D19" s="17" t="inlineStr">
        <is>
          <t>u_avatar</t>
        </is>
      </c>
      <c r="G19" s="17" t="inlineStr">
        <is>
          <t>The shrine above was re-consecrated years ago -- 'complicit hands scrubbed from its stones' (map_v21's own note) -- and none of that touched what's down here. sect_vashti's own doctrine says a sacrament from complicit hands is void until re-made clean; the records in this room were never a sacrament, never re-made, and never once addressed by the reconsecration built directly over them. The avatar leaves with paper, not absolution -- those were always two different things, whatever the shrine upstairs implied.</t>
        </is>
      </c>
      <c r="H19" s="17" t="inlineStr">
        <is>
          <t>drafted</t>
        </is>
      </c>
      <c r="I19" s="17" t="n">
        <v>0</v>
      </c>
    </row>
    <row r="20">
      <c r="A20" s="17" t="inlineStr">
        <is>
          <t>sc_d04</t>
        </is>
      </c>
      <c r="B20" s="17" t="inlineStr">
        <is>
          <t>ch_d04</t>
        </is>
      </c>
      <c r="C20" s="17" t="inlineStr">
        <is>
          <t>post-battle</t>
        </is>
      </c>
      <c r="D20" s="17" t="inlineStr">
        <is>
          <t>u_avatar</t>
        </is>
      </c>
      <c r="G20" s="17" t="inlineStr">
        <is>
          <t>Grain hits the quay under a crowd's own noise, and it's the opportunists working that noise, not the crowd itself, that the avatar's people end up fighting. The Diadem calls it protest management; the dockworkers call it Thursday.</t>
        </is>
      </c>
      <c r="H20" s="17" t="inlineStr">
        <is>
          <t>drafted</t>
        </is>
      </c>
      <c r="I20" s="17" t="n">
        <v>0</v>
      </c>
    </row>
    <row r="21">
      <c r="A21" s="17" t="inlineStr">
        <is>
          <t>sc_d06</t>
        </is>
      </c>
      <c r="B21" s="17" t="inlineStr">
        <is>
          <t>ch_d06</t>
        </is>
      </c>
      <c r="C21" s="17" t="inlineStr">
        <is>
          <t>post-battle</t>
        </is>
      </c>
      <c r="D21" s="17" t="inlineStr">
        <is>
          <t>u_avatar</t>
        </is>
      </c>
      <c r="G21" s="17" t="inlineStr">
        <is>
          <t>Anthe's harbour sits two levels below the town and dry -- the same stranded-water scar that runs the length of this coast, here just a port trying to keep working above it.</t>
        </is>
      </c>
      <c r="H21" s="17" t="inlineStr">
        <is>
          <t>drafted</t>
        </is>
      </c>
      <c r="I21" s="17" t="n">
        <v>0</v>
      </c>
    </row>
    <row r="22">
      <c r="A22" s="17" t="inlineStr">
        <is>
          <t>sc_d07</t>
        </is>
      </c>
      <c r="B22" s="17" t="inlineStr">
        <is>
          <t>ch_d07</t>
        </is>
      </c>
      <c r="C22" s="17" t="inlineStr">
        <is>
          <t>post-battle</t>
        </is>
      </c>
      <c r="D22" s="17" t="inlineStr">
        <is>
          <t>u_avatar</t>
        </is>
      </c>
      <c r="G22" s="17" t="inlineStr">
        <is>
          <t>The renunciants who live in this ruin don't fight and don't explain themselves either; the avatar's people clear scavengers off the middle terrace and leave them exactly as unbothered as they found them.</t>
        </is>
      </c>
      <c r="H22" s="17" t="inlineStr">
        <is>
          <t>drafted</t>
        </is>
      </c>
      <c r="I22" s="17" t="n">
        <v>0</v>
      </c>
    </row>
    <row r="23">
      <c r="A23" s="17" t="inlineStr">
        <is>
          <t>sc_d08</t>
        </is>
      </c>
      <c r="B23" s="17" t="inlineStr">
        <is>
          <t>ch_d08</t>
        </is>
      </c>
      <c r="C23" s="17" t="inlineStr">
        <is>
          <t>post-battle</t>
        </is>
      </c>
      <c r="D23" s="17" t="inlineStr">
        <is>
          <t>u_avatar</t>
        </is>
      </c>
      <c r="G23" s="17" t="inlineStr">
        <is>
          <t>Nothing to hide behind and nowhere it would matter -- the dry country doesn't punish bad positioning so much as make the question irrelevant. Whoever moves faster decides the terms.</t>
        </is>
      </c>
      <c r="H23" s="17" t="inlineStr">
        <is>
          <t>drafted</t>
        </is>
      </c>
      <c r="I23" s="17" t="n">
        <v>0</v>
      </c>
    </row>
    <row r="24">
      <c r="A24" s="17" t="inlineStr">
        <is>
          <t>sc_d09</t>
        </is>
      </c>
      <c r="B24" s="17" t="inlineStr">
        <is>
          <t>ch_d09</t>
        </is>
      </c>
      <c r="C24" s="17" t="inlineStr">
        <is>
          <t>post-battle</t>
        </is>
      </c>
      <c r="D24" s="17" t="inlineStr">
        <is>
          <t>u_avatar</t>
        </is>
      </c>
      <c r="G24" s="17" t="inlineStr">
        <is>
          <t>The road narrows where the lava fanned out and never fully cooled into anything wider than one cart. Local levies hold the narrows less because they can win there than because it's the only place worth holding at all.</t>
        </is>
      </c>
      <c r="H24" s="17" t="inlineStr">
        <is>
          <t>drafted</t>
        </is>
      </c>
      <c r="I24" s="17" t="n">
        <v>0</v>
      </c>
    </row>
    <row r="25">
      <c r="A25" s="17" t="inlineStr">
        <is>
          <t>sc_d10</t>
        </is>
      </c>
      <c r="B25" s="17" t="inlineStr">
        <is>
          <t>ch_d10</t>
        </is>
      </c>
      <c r="C25" s="17" t="inlineStr">
        <is>
          <t>post-battle</t>
        </is>
      </c>
      <c r="D25" s="17" t="inlineStr">
        <is>
          <t>u_avatar</t>
        </is>
      </c>
      <c r="G25" s="17" t="inlineStr">
        <is>
          <t>The gate doesn't open and nobody inside answers a question -- sect_vashti's own seat living up to sects.sect_vashti's own note almost a decade before ch_v21 confirms it in writing: no talk conversations available on their seat map, Act 1 included.</t>
        </is>
      </c>
      <c r="H25" s="17" t="inlineStr">
        <is>
          <t>drafted</t>
        </is>
      </c>
      <c r="I25" s="17" t="n">
        <v>0</v>
      </c>
    </row>
    <row r="26">
      <c r="A26" s="17" t="inlineStr">
        <is>
          <t>sc_a04</t>
        </is>
      </c>
      <c r="B26" s="17" t="inlineStr">
        <is>
          <t>ch_a04</t>
        </is>
      </c>
      <c r="C26" s="17" t="inlineStr">
        <is>
          <t>post-battle</t>
        </is>
      </c>
      <c r="D26" s="17" t="inlineStr">
        <is>
          <t>u_avatar</t>
        </is>
      </c>
      <c r="G26" s="17" t="inlineStr">
        <is>
          <t>No crowd at Halder, no cart to chase -- just a quiet trade in medicine nobody upriver wants to ask too many questions about, and opportunists who noticed the same thing the avatar's people did.</t>
        </is>
      </c>
      <c r="H26" s="17" t="inlineStr">
        <is>
          <t>drafted</t>
        </is>
      </c>
      <c r="I26" s="17" t="n">
        <v>0</v>
      </c>
    </row>
    <row r="27">
      <c r="A27" s="17" t="inlineStr">
        <is>
          <t>sc_a05</t>
        </is>
      </c>
      <c r="B27" s="17" t="inlineStr">
        <is>
          <t>ch_a05</t>
        </is>
      </c>
      <c r="C27" s="17" t="inlineStr">
        <is>
          <t>post-battle</t>
        </is>
      </c>
      <c r="D27" s="17" t="inlineStr">
        <is>
          <t>u_avatar</t>
        </is>
      </c>
      <c r="G27" s="17" t="inlineStr">
        <is>
          <t>The bell tower shows itself for one dry season and vanishes back under for the next; whoever built the town underneath it clearly expected the water to stay put. It didn't.</t>
        </is>
      </c>
      <c r="H27" s="17" t="inlineStr">
        <is>
          <t>drafted</t>
        </is>
      </c>
      <c r="I27" s="17" t="n">
        <v>0</v>
      </c>
    </row>
    <row r="28">
      <c r="A28" s="17" t="inlineStr">
        <is>
          <t>sc_a06</t>
        </is>
      </c>
      <c r="B28" s="17" t="inlineStr">
        <is>
          <t>ch_a06</t>
        </is>
      </c>
      <c r="C28" s="17" t="inlineStr">
        <is>
          <t>post-battle</t>
        </is>
      </c>
      <c r="D28" s="17" t="inlineStr">
        <is>
          <t>u_avatar</t>
        </is>
      </c>
      <c r="G28" s="17" t="inlineStr">
        <is>
          <t>Ostrova sits close enough to the Plains that the Assembly's own writ starts to feel optional past a certain point on the map -- the raiders who hit it clearly agree.</t>
        </is>
      </c>
      <c r="H28" s="17" t="inlineStr">
        <is>
          <t>drafted</t>
        </is>
      </c>
      <c r="I28" s="17" t="n">
        <v>0</v>
      </c>
    </row>
    <row r="29">
      <c r="A29" s="17" t="inlineStr">
        <is>
          <t>sc_a07</t>
        </is>
      </c>
      <c r="B29" s="17" t="inlineStr">
        <is>
          <t>ch_a07</t>
        </is>
      </c>
      <c r="C29" s="17" t="inlineStr">
        <is>
          <t>post-battle</t>
        </is>
      </c>
      <c r="D29" s="17" t="inlineStr">
        <is>
          <t>u_avatar</t>
        </is>
      </c>
      <c r="G29" s="17" t="inlineStr">
        <is>
          <t>Downstream the rift filled and became a lake with a story about it. Up here it's still just a cliff, and holding the shelf along its edge has no story attached yet, only the fighting.</t>
        </is>
      </c>
      <c r="H29" s="17" t="inlineStr">
        <is>
          <t>drafted</t>
        </is>
      </c>
      <c r="I29" s="17" t="n">
        <v>0</v>
      </c>
    </row>
    <row r="30">
      <c r="A30" s="17" t="inlineStr">
        <is>
          <t>sc_a08</t>
        </is>
      </c>
      <c r="B30" s="17" t="inlineStr">
        <is>
          <t>ch_a08</t>
        </is>
      </c>
      <c r="C30" s="17" t="inlineStr">
        <is>
          <t>post-battle</t>
        </is>
      </c>
      <c r="D30" s="17" t="inlineStr">
        <is>
          <t>u_avatar</t>
        </is>
      </c>
      <c r="G30" s="17" t="inlineStr">
        <is>
          <t>The canopy takes the sky away from anything that flies and leaves the ground fight exactly as it would be anywhere else -- bandits who know that difference use it.</t>
        </is>
      </c>
      <c r="H30" s="17" t="inlineStr">
        <is>
          <t>drafted</t>
        </is>
      </c>
      <c r="I30" s="17" t="n">
        <v>0</v>
      </c>
    </row>
    <row r="31">
      <c r="A31" s="17" t="inlineStr">
        <is>
          <t>sc_a09</t>
        </is>
      </c>
      <c r="B31" s="17" t="inlineStr">
        <is>
          <t>ch_a09</t>
        </is>
      </c>
      <c r="C31" s="17" t="inlineStr">
        <is>
          <t>post-battle</t>
        </is>
      </c>
      <c r="D31" s="17" t="inlineStr">
        <is>
          <t>u_avatar</t>
        </is>
      </c>
      <c r="G31" s="17" t="inlineStr">
        <is>
          <t>New scripture arrives here the way it always does for sect_march -- dictated, in progress, never finished -- and the levies being talked into believing it were conscripts an hour ago.</t>
        </is>
      </c>
      <c r="H31" s="17" t="inlineStr">
        <is>
          <t>drafted</t>
        </is>
      </c>
      <c r="I31" s="17" t="n">
        <v>0</v>
      </c>
    </row>
    <row r="32">
      <c r="A32" s="17" t="inlineStr">
        <is>
          <t>sc_a10</t>
        </is>
      </c>
      <c r="B32" s="17" t="inlineStr">
        <is>
          <t>ch_a10</t>
        </is>
      </c>
      <c r="C32" s="17" t="inlineStr">
        <is>
          <t>post-battle</t>
        </is>
      </c>
      <c r="D32" s="17" t="inlineStr">
        <is>
          <t>u_avatar</t>
        </is>
      </c>
      <c r="G32" s="17" t="inlineStr">
        <is>
          <t>Obedience belongs to the throne, and the chapel at Vetch says so with its gate shut rather than its doors open -- the same welcome ch_c21 will describe in writing, years before that reunion's own ambush makes it literal.</t>
        </is>
      </c>
      <c r="H32" s="17" t="inlineStr">
        <is>
          <t>drafted</t>
        </is>
      </c>
      <c r="I32" s="17" t="n">
        <v>0</v>
      </c>
    </row>
    <row r="33">
      <c r="A33" s="17" t="inlineStr">
        <is>
          <t>sc_k21</t>
        </is>
      </c>
      <c r="B33" s="17" t="inlineStr">
        <is>
          <t>ch_k21</t>
        </is>
      </c>
      <c r="C33" s="17" t="inlineStr">
        <is>
          <t>post-battle</t>
        </is>
      </c>
      <c r="D33" s="17" t="inlineStr">
        <is>
          <t>u_avatar</t>
        </is>
      </c>
      <c r="G33" s="17" t="inlineStr">
        <is>
          <t>The granary district was never built to be defended -- it was built to feed people, and the same silos that stored the capital's own surplus turn out to store just as much for whatever the synod is running further in. Holding it isn't victory, just a delay.</t>
        </is>
      </c>
      <c r="H33" s="17" t="inlineStr">
        <is>
          <t>drafted</t>
        </is>
      </c>
      <c r="I33" s="17" t="n">
        <v>0</v>
      </c>
    </row>
    <row r="34">
      <c r="A34" s="17" t="inlineStr">
        <is>
          <t>sc_k22</t>
        </is>
      </c>
      <c r="B34" s="17" t="inlineStr">
        <is>
          <t>ch_k22</t>
        </is>
      </c>
      <c r="C34" s="17" t="inlineStr">
        <is>
          <t>post-battle</t>
        </is>
      </c>
      <c r="D34" s="17" t="inlineStr">
        <is>
          <t>u_avatar</t>
        </is>
      </c>
      <c r="G34" s="17" t="inlineStr">
        <is>
          <t>'The synod's colossus is fed from here' turns out to be exactly as literal as it sounds -- a body assembled from what the granary quietly diverted, standing where a district used to be one thing and is now becoming another. Whether this is the same hunger the Idol and the Hierophant answer to, or just the capital's own version of it, is not a question this fight settles.</t>
        </is>
      </c>
      <c r="H34" s="17" t="inlineStr">
        <is>
          <t>drafted</t>
        </is>
      </c>
      <c r="I34" s="17" t="n">
        <v>0</v>
      </c>
    </row>
    <row r="35">
      <c r="A35" s="17" t="inlineStr">
        <is>
          <t>sc_ct19</t>
        </is>
      </c>
      <c r="B35" s="17" t="inlineStr">
        <is>
          <t>ch_ct19</t>
        </is>
      </c>
      <c r="C35" s="17" t="inlineStr">
        <is>
          <t>post-battle</t>
        </is>
      </c>
      <c r="D35" s="17" t="inlineStr">
        <is>
          <t>u_avatar</t>
        </is>
      </c>
      <c r="G35" s="17" t="inlineStr">
        <is>
          <t>The ash never really settles, and neither does whoever's stationed out here -- the Karkadann is somewhere past the treeline this track skirts, and nobody guarding the crossing seems eager to find out how close.</t>
        </is>
      </c>
      <c r="H35" s="17" t="inlineStr">
        <is>
          <t>drafted</t>
        </is>
      </c>
      <c r="I35" s="17" t="n">
        <v>0</v>
      </c>
    </row>
    <row r="36">
      <c r="A36" s="17" t="inlineStr">
        <is>
          <t>sc_tp19</t>
        </is>
      </c>
      <c r="B36" s="17" t="inlineStr">
        <is>
          <t>ch_tp19</t>
        </is>
      </c>
      <c r="C36" s="17" t="inlineStr">
        <is>
          <t>post-battle</t>
        </is>
      </c>
      <c r="D36" s="17" t="inlineStr">
        <is>
          <t>u_avatar</t>
        </is>
      </c>
      <c r="G36" s="17" t="inlineStr">
        <is>
          <t>Whoever holds the Throat pass sets the year's price, and this year it isn't the Company of the Road collecting -- just someone else's garrison, doing the same job under a different flag.</t>
        </is>
      </c>
      <c r="H36" s="17" t="inlineStr">
        <is>
          <t>drafted</t>
        </is>
      </c>
      <c r="I36" s="17" t="n">
        <v>0</v>
      </c>
    </row>
    <row r="37">
      <c r="A37" s="17" t="inlineStr">
        <is>
          <t>sc_rf20</t>
        </is>
      </c>
      <c r="B37" s="17" t="inlineStr">
        <is>
          <t>ch_rf20</t>
        </is>
      </c>
      <c r="C37" s="17" t="inlineStr">
        <is>
          <t>post-battle</t>
        </is>
      </c>
      <c r="D37" s="17" t="inlineStr">
        <is>
          <t>u_avatar</t>
        </is>
      </c>
      <c r="G37" s="17" t="inlineStr">
        <is>
          <t>Two columns that split back at the tally house and the winter dole make camp within sight of each other for the first time since. What each brings back says as much as what each lost on the way -- neither needs saying out loud for the other to read it.</t>
        </is>
      </c>
      <c r="H37" s="17" t="inlineStr">
        <is>
          <t>drafted</t>
        </is>
      </c>
      <c r="I37" s="17" t="n">
        <v>0</v>
      </c>
    </row>
    <row r="38">
      <c r="A38" s="25" t="inlineStr">
        <is>
          <t>One row per generated scene. depends_on_* columns are the coherence contract: the validator fails any scene naming a unit that has not joined by its chapter.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D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7" min="1" max="1"/>
    <col width="56" customWidth="1" style="17" min="2" max="2"/>
    <col width="12" customWidth="1" style="17" min="3" max="4"/>
  </cols>
  <sheetData>
    <row r="1" ht="15" customHeight="1" s="18">
      <c r="A1" s="22" t="inlineStr">
        <is>
          <t>check_id</t>
        </is>
      </c>
      <c r="B1" s="22" t="inlineStr">
        <is>
          <t>description</t>
        </is>
      </c>
      <c r="C1" s="22" t="inlineStr">
        <is>
          <t>severity</t>
        </is>
      </c>
      <c r="D1" s="22" t="inlineStr">
        <is>
          <t>violations</t>
        </is>
      </c>
    </row>
    <row r="2" ht="15" customHeight="1" s="18">
      <c r="A2" s="23" t="inlineStr">
        <is>
          <t>v01</t>
        </is>
      </c>
      <c r="B2" s="23" t="inlineStr">
        <is>
          <t>units with a join_chapter_id not present in chapters</t>
        </is>
      </c>
      <c r="C2" s="23" t="inlineStr">
        <is>
          <t>blocking</t>
        </is>
      </c>
      <c r="D2" s="24">
        <f>SUMPRODUCT(--(COUNTIF(chapters!$A$2:$A$500,units!$E$2:$E$200)=0),--(units!$E$2:$E$200&lt;&gt;""))</f>
        <v/>
      </c>
    </row>
    <row r="3" ht="15" customHeight="1" s="18">
      <c r="A3" s="23" t="inlineStr">
        <is>
          <t>v02</t>
        </is>
      </c>
      <c r="B3" s="23" t="inlineStr">
        <is>
          <t>units with a base_class_id not present in classes</t>
        </is>
      </c>
      <c r="C3" s="23" t="inlineStr">
        <is>
          <t>blocking</t>
        </is>
      </c>
      <c r="D3" s="24">
        <f>SUMPRODUCT(--(COUNTIF(classes!$A$2:$A$500,units!$G$2:$G$200)=0),--(units!$G$2:$G$200&lt;&gt;""))</f>
        <v/>
      </c>
    </row>
    <row r="4" ht="15" customHeight="1" s="18">
      <c r="A4" s="23" t="inlineStr">
        <is>
          <t>v03</t>
        </is>
      </c>
      <c r="B4" s="23" t="inlineStr">
        <is>
          <t>units with a growth_profile_id not present in growths</t>
        </is>
      </c>
      <c r="C4" s="23" t="inlineStr">
        <is>
          <t>blocking</t>
        </is>
      </c>
      <c r="D4" s="24">
        <f>SUMPRODUCT(--(COUNTIF(growths!$A$2:$A$200,units!$H$2:$H$200)=0),--(units!$H$2:$H$200&lt;&gt;""))</f>
        <v/>
      </c>
    </row>
    <row r="5" ht="15" customHeight="1" s="18">
      <c r="A5" s="23" t="inlineStr">
        <is>
          <t>v04</t>
        </is>
      </c>
      <c r="B5" s="23" t="inlineStr">
        <is>
          <t>chapters pointing at a map_id not present in maps</t>
        </is>
      </c>
      <c r="C5" s="23" t="inlineStr">
        <is>
          <t>blocking</t>
        </is>
      </c>
      <c r="D5" s="24">
        <f>SUMPRODUCT(--(COUNTIF(maps!$A$2:$A$500,chapters!$G$2:$G$500)=0),--(chapters!$G$2:$G$500&lt;&gt;""))</f>
        <v/>
      </c>
    </row>
    <row r="6" ht="15" customHeight="1" s="18">
      <c r="A6" s="23" t="inlineStr">
        <is>
          <t>v05</t>
        </is>
      </c>
      <c r="B6" s="23" t="inlineStr">
        <is>
          <t>chapters citing a sect_id not present in sects</t>
        </is>
      </c>
      <c r="C6" s="23" t="inlineStr">
        <is>
          <t>blocking</t>
        </is>
      </c>
      <c r="D6" s="24">
        <f>SUMPRODUCT(--(COUNTIF(sects!$A$2:$A$50,chapters!$H$2:$H$500)=0),--(chapters!$H$2:$H$500&lt;&gt;""))</f>
        <v/>
      </c>
    </row>
    <row r="7" ht="15" customHeight="1" s="18">
      <c r="A7" s="23" t="inlineStr">
        <is>
          <t>v06</t>
        </is>
      </c>
      <c r="B7" s="23" t="inlineStr">
        <is>
          <t>classes promoting from a class_id that does not exist</t>
        </is>
      </c>
      <c r="C7" s="23" t="inlineStr">
        <is>
          <t>blocking</t>
        </is>
      </c>
      <c r="D7" s="24">
        <f>SUMPRODUCT(--(COUNTIF(classes!$A$2:$A$500,classes!$G$2:$G$500)=0),--(classes!$G$2:$G$500&lt;&gt;""))</f>
        <v/>
      </c>
    </row>
    <row r="8" ht="15" customHeight="1" s="18">
      <c r="A8" s="23" t="inlineStr">
        <is>
          <t>v07</t>
        </is>
      </c>
      <c r="B8" s="23" t="inlineStr">
        <is>
          <t>maps whose objective_verb is not in enums</t>
        </is>
      </c>
      <c r="C8" s="23" t="inlineStr">
        <is>
          <t>blocking</t>
        </is>
      </c>
      <c r="D8" s="24">
        <f>SUMPRODUCT(--(COUNTIF(enums!$G$2:$G$50,maps!$E$2:$E$500)=0),--(maps!$E$2:$E$500&lt;&gt;""))</f>
        <v/>
      </c>
    </row>
    <row r="9" ht="15" customHeight="1" s="18">
      <c r="A9" s="23" t="inlineStr">
        <is>
          <t>v08</t>
        </is>
      </c>
      <c r="B9" s="23" t="inlineStr">
        <is>
          <t>scenes attached to a chapter_id that does not exist</t>
        </is>
      </c>
      <c r="C9" s="23" t="inlineStr">
        <is>
          <t>blocking</t>
        </is>
      </c>
      <c r="D9" s="24">
        <f>SUMPRODUCT(--(COUNTIF(chapters!$A$2:$A$500,scenes!$B$2:$B$999)=0),--(scenes!$B$2:$B$999&lt;&gt;""))</f>
        <v/>
      </c>
    </row>
    <row r="10" ht="15" customHeight="1" s="18">
      <c r="A10" s="23" t="inlineStr">
        <is>
          <t>v09</t>
        </is>
      </c>
      <c r="B10" s="23" t="inlineStr">
        <is>
          <t>recruitable units still short of the 24 minimum</t>
        </is>
      </c>
      <c r="C10" s="23" t="inlineStr">
        <is>
          <t>warning</t>
        </is>
      </c>
      <c r="D10" s="24">
        <f>MAX(0,24-COUNTIF(units!$C$2:$C$200,"recruitable"))</f>
        <v/>
      </c>
    </row>
    <row r="11" ht="15" customHeight="1" s="18">
      <c r="A11" s="23" t="inlineStr">
        <is>
          <t>v10</t>
        </is>
      </c>
      <c r="B11" s="23" t="inlineStr">
        <is>
          <t>growth profiles outside the 305-325 band (Jagens excluded)</t>
        </is>
      </c>
      <c r="C11" s="23" t="inlineStr">
        <is>
          <t>warning</t>
        </is>
      </c>
      <c r="D11" s="24">
        <f>SUMPRODUCT(--(growths!$A$2:$A$200&lt;&gt;""),--(LEFT(growths!$A$2:$A$200,8)&lt;&gt;"gp_jagen"),--(growths!$J$2:$J$200&gt;0),--((growths!$J$2:$J$200&lt;305)+(growths!$J$2:$J$200&gt;325)&gt;0))</f>
        <v/>
      </c>
    </row>
    <row r="12" ht="15" customHeight="1" s="18">
      <c r="A12" s="23" t="inlineStr">
        <is>
          <t>v11</t>
        </is>
      </c>
      <c r="B12" s="23" t="inlineStr">
        <is>
          <t>sects with zero Act 2 chapters (the Stepped Coast is the only legal case)</t>
        </is>
      </c>
      <c r="C12" s="23" t="inlineStr">
        <is>
          <t>info</t>
        </is>
      </c>
      <c r="D12" s="24">
        <f>COUNTIF(sects!$I$2:$I$50,0)</f>
        <v/>
      </c>
    </row>
    <row r="13" ht="15" customHeight="1" s="18">
      <c r="A13" s="23" t="inlineStr">
        <is>
          <t>v12</t>
        </is>
      </c>
      <c r="B13" s="23" t="inlineStr">
        <is>
          <t>chapters in act 2 with no column assigned</t>
        </is>
      </c>
      <c r="C13" s="23" t="inlineStr">
        <is>
          <t>warning</t>
        </is>
      </c>
      <c r="D13" s="24">
        <f>COUNTIFS(chapters!$B$2:$B$500,"2",chapters!$D$2:$D$500,"")</f>
        <v/>
      </c>
    </row>
    <row r="14" ht="15" customHeight="1" s="18">
      <c r="A14" s="23" t="inlineStr">
        <is>
          <t>v13</t>
        </is>
      </c>
      <c r="B14" s="23" t="inlineStr">
        <is>
          <t>Order-tier classes defined (matrix coverage, expect 25)</t>
        </is>
      </c>
      <c r="C14" s="23" t="inlineStr">
        <is>
          <t>info</t>
        </is>
      </c>
      <c r="D14" s="24">
        <f>COUNTIF(classes!$C$2:$C$500,"order")</f>
        <v/>
      </c>
    </row>
    <row r="15" ht="15" customHeight="1" s="18">
      <c r="A15" s="23" t="inlineStr">
        <is>
          <t>v14</t>
        </is>
      </c>
      <c r="B15" s="23" t="inlineStr">
        <is>
          <t>consecutive-chapter objective repetition (manual review flag)</t>
        </is>
      </c>
      <c r="C15" s="23" t="inlineStr">
        <is>
          <t>info</t>
        </is>
      </c>
      <c r="D15" s="24">
        <f>COUNTIF(maps!$E$2:$E$500,"escort")</f>
        <v/>
      </c>
    </row>
    <row r="16" ht="15" customHeight="1" s="18">
      <c r="A16" s="23" t="inlineStr">
        <is>
          <t>v15</t>
        </is>
      </c>
      <c r="B16" s="23" t="inlineStr">
        <is>
          <t>chapters with no tonal_register assigned</t>
        </is>
      </c>
      <c r="C16" s="23" t="inlineStr">
        <is>
          <t>warning</t>
        </is>
      </c>
      <c r="D16" s="23">
        <f>COUNTIF(chapters!$A$2:$A$500,"&lt;&gt;")-COUNTIF(chapters!$K$2:$K$500,"&lt;&gt;")</f>
        <v/>
      </c>
    </row>
    <row r="17" ht="15" customHeight="1" s="18">
      <c r="A17" s="23" t="inlineStr">
        <is>
          <t>v16</t>
        </is>
      </c>
      <c r="B17" s="23" t="inlineStr">
        <is>
          <t>warm/wondrous chapters (target: 1 in every 4)</t>
        </is>
      </c>
      <c r="C17" s="23" t="inlineStr">
        <is>
          <t>info</t>
        </is>
      </c>
      <c r="D17" s="23">
        <f>COUNTIF(chapters!$K$2:$K$500,"warm")+COUNTIF(chapters!$K$2:$K$500,"wondrous")</f>
        <v/>
      </c>
    </row>
    <row r="18" ht="15" customHeight="1" s="18">
      <c r="A18" s="23" t="inlineStr">
        <is>
          <t>v17</t>
        </is>
      </c>
      <c r="B18" s="23" t="inlineStr">
        <is>
          <t>regions whose scar has no material explanation</t>
        </is>
      </c>
      <c r="C18" s="23" t="inlineStr">
        <is>
          <t>warning</t>
        </is>
      </c>
      <c r="D18" s="23">
        <f>SUMPRODUCT(--(regions!$E$2:$E$50&lt;&gt;""),--(regions!$G$2:$G$50=""))</f>
        <v/>
      </c>
    </row>
    <row r="19" ht="15" customHeight="1" s="18">
      <c r="A19" s="23" t="inlineStr">
        <is>
          <t>v18</t>
        </is>
      </c>
      <c r="B19" s="23" t="inlineStr">
        <is>
          <t>regions whose scar has no sacred explanation</t>
        </is>
      </c>
      <c r="C19" s="23" t="inlineStr">
        <is>
          <t>warning</t>
        </is>
      </c>
      <c r="D19" s="23">
        <f>SUMPRODUCT(--(regions!$E$2:$E$50&lt;&gt;""),--(regions!$F$2:$F$50=""))</f>
        <v/>
      </c>
    </row>
    <row r="20" ht="15" customHeight="1" s="18">
      <c r="A20" s="23" t="inlineStr">
        <is>
          <t>v19</t>
        </is>
      </c>
      <c r="B20" s="23" t="inlineStr">
        <is>
          <t>Named pointing at a region that does not exist</t>
        </is>
      </c>
      <c r="C20" s="23" t="inlineStr">
        <is>
          <t>blocking</t>
        </is>
      </c>
      <c r="D20" s="23">
        <f>SUMPRODUCT(--(COUNTIF(regions!$A$2:$A$50,named!$C$2:$C$50)=0),--(named!$C$2:$C$50&lt;&gt;""))</f>
        <v/>
      </c>
    </row>
    <row r="21" ht="15" customHeight="1" s="18">
      <c r="A21" s="23" t="inlineStr">
        <is>
          <t>v20</t>
        </is>
      </c>
      <c r="B21" s="23" t="inlineStr">
        <is>
          <t>regions pointing at a Named that does not exist</t>
        </is>
      </c>
      <c r="C21" s="23" t="inlineStr">
        <is>
          <t>blocking</t>
        </is>
      </c>
      <c r="D21" s="23">
        <f>SUMPRODUCT(--(COUNTIF(named!$A$2:$A$50,regions!$I$2:$I$50)=0),--(regions!$I$2:$I$50&lt;&gt;""))</f>
        <v/>
      </c>
    </row>
    <row r="22" ht="15" customHeight="1" s="18">
      <c r="A22" s="23" t="inlineStr">
        <is>
          <t>v21</t>
        </is>
      </c>
      <c r="B22" s="23" t="inlineStr">
        <is>
          <t>regions citing a sect that does not exist</t>
        </is>
      </c>
      <c r="C22" s="23" t="inlineStr">
        <is>
          <t>blocking</t>
        </is>
      </c>
      <c r="D22" s="23">
        <f>SUMPRODUCT(--(COUNTIF(sects!$A$2:$A$50,regions!$H$2:$H$50)=0),--(regions!$H$2:$H$50&lt;&gt;""))</f>
        <v/>
      </c>
    </row>
    <row r="23" ht="15" customHeight="1" s="18">
      <c r="A23" s="23" t="inlineStr">
        <is>
          <t>v22</t>
        </is>
      </c>
      <c r="B23" s="23" t="inlineStr">
        <is>
          <t>maps solvable by a single unit (warp-skip exposure)</t>
        </is>
      </c>
      <c r="C23" s="23" t="inlineStr">
        <is>
          <t>blocking</t>
        </is>
      </c>
      <c r="D23" s="23">
        <f>COUNTIFS(maps!$K$2:$K$500,"&lt;2",maps!$K$2:$K$500,"&gt;0")</f>
        <v/>
      </c>
    </row>
    <row r="24" ht="15" customHeight="1" s="18">
      <c r="A24" s="23" t="inlineStr">
        <is>
          <t>v23</t>
        </is>
      </c>
      <c r="B24" s="23" t="inlineStr">
        <is>
          <t>maps with fewer than 2 stated approaches</t>
        </is>
      </c>
      <c r="C24" s="23" t="inlineStr">
        <is>
          <t>warning</t>
        </is>
      </c>
      <c r="D24" s="23">
        <f>SUMPRODUCT(--(LEFT(maps!$A$2:$A$500,4)="map_"),--(LEN(maps!$R$2:$R$500)-LEN(SUBSTITUTE(maps!$R$2:$R$500,"|",""))&lt;1))</f>
        <v/>
      </c>
    </row>
    <row r="25" ht="15" customHeight="1" s="18">
      <c r="A25" s="23" t="inlineStr">
        <is>
          <t>v24</t>
        </is>
      </c>
      <c r="B25" s="23" t="inlineStr">
        <is>
          <t>maps with reinforcements but no den</t>
        </is>
      </c>
      <c r="C25" s="23" t="inlineStr">
        <is>
          <t>blocking</t>
        </is>
      </c>
      <c r="D25" s="23">
        <f>COUNTIFS(maps!$J$2:$J$500,"den",maps!$K$2:$K$500,"no")</f>
        <v/>
      </c>
    </row>
    <row r="26" ht="15" customHeight="1" s="18">
      <c r="A26" s="23" t="inlineStr">
        <is>
          <t>v25</t>
        </is>
      </c>
      <c r="B26" s="23" t="inlineStr">
        <is>
          <t>maps with no reinforcement_source declared</t>
        </is>
      </c>
      <c r="C26" s="23" t="inlineStr">
        <is>
          <t>warning</t>
        </is>
      </c>
      <c r="D26" s="23">
        <f>SUMPRODUCT(--(LEFT(maps!$A$2:$A$500,4)="map_"),--(maps!$J$2:$J$500=""))</f>
        <v/>
      </c>
    </row>
    <row r="28" ht="15" customHeight="1" s="18">
      <c r="B28" s="28" t="inlineStr">
        <is>
          <t>BLOCKING VIOLATIONS</t>
        </is>
      </c>
      <c r="D28" s="29">
        <f>SUMIFS($D$2:$D$26,$C$2:$C$26,"blocking")</f>
        <v/>
      </c>
    </row>
    <row r="30" ht="15" customHeight="1" s="18">
      <c r="B30" s="25" t="inlineStr">
        <is>
          <t>Live referential integrity. Any blocking count above zero means the corpus has a dangling reference. canon_validate.py runs these plus the checks a formula cannot express and writes a violations CSV.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J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4" customWidth="1" style="17" min="2" max="2"/>
    <col width="11" customWidth="1" style="17" min="3" max="3"/>
    <col width="40" customWidth="1" style="17" min="4" max="4"/>
    <col width="38" customWidth="1" style="17" min="5" max="5"/>
    <col width="32" customWidth="1" style="17" min="6" max="7"/>
    <col width="18" customWidth="1" style="17" min="8" max="8"/>
    <col width="16" customWidth="1" style="17" min="9" max="9"/>
    <col width="52" customWidth="1" style="17" min="10" max="10"/>
  </cols>
  <sheetData>
    <row r="1" ht="30" customHeight="1" s="18">
      <c r="A1" s="21" t="inlineStr">
        <is>
          <t>region_id</t>
        </is>
      </c>
      <c r="B1" s="21" t="inlineStr">
        <is>
          <t>name</t>
        </is>
      </c>
      <c r="C1" s="21" t="inlineStr">
        <is>
          <t>direction</t>
        </is>
      </c>
      <c r="D1" s="21" t="inlineStr">
        <is>
          <t>elevated_in</t>
        </is>
      </c>
      <c r="E1" s="21" t="inlineStr">
        <is>
          <t>scar</t>
        </is>
      </c>
      <c r="F1" s="21" t="inlineStr">
        <is>
          <t>explanation_sacred</t>
        </is>
      </c>
      <c r="G1" s="21" t="inlineStr">
        <is>
          <t>explanation_material</t>
        </is>
      </c>
      <c r="H1" s="21" t="inlineStr">
        <is>
          <t>claimed_by_sect_id</t>
        </is>
      </c>
      <c r="I1" s="21" t="inlineStr">
        <is>
          <t>named_id</t>
        </is>
      </c>
      <c r="J1" s="21" t="inlineStr">
        <is>
          <t>texture</t>
        </is>
      </c>
    </row>
    <row r="2" ht="34.5" customHeight="1" s="18">
      <c r="A2" s="23" t="inlineStr">
        <is>
          <t>rgn_center</t>
        </is>
      </c>
      <c r="B2" s="23" t="inlineStr">
        <is>
          <t>the capital and its hinterland</t>
        </is>
      </c>
      <c r="C2" s="23" t="inlineStr">
        <is>
          <t>center</t>
        </is>
      </c>
      <c r="D2" s="23" t="inlineStr">
        <is>
          <t>antique: the largest library on the continent, almost none of it originally theirs</t>
        </is>
      </c>
      <c r="E2" s="23" t="inlineStr">
        <is>
          <t>none (the center is unscarred, which it considers proof of favor)</t>
        </is>
      </c>
      <c r="F2" s="23" t="n"/>
      <c r="G2" s="23" t="n"/>
      <c r="H2" s="23" t="inlineStr">
        <is>
          <t>sect_court</t>
        </is>
      </c>
      <c r="I2" s="23" t="n"/>
      <c r="J2" s="23" t="inlineStr">
        <is>
          <t>translations whose originals no longer exist; astronomers using tables computed a thousand miles east; physicians trained on a text the capital once condemned</t>
        </is>
      </c>
    </row>
    <row r="3" ht="34.5" customHeight="1" s="18">
      <c r="A3" s="23" t="inlineStr">
        <is>
          <t>rgn_drowned_march</t>
        </is>
      </c>
      <c r="B3" s="23" t="inlineStr">
        <is>
          <t>the Drowned March</t>
        </is>
      </c>
      <c r="C3" s="23" t="inlineStr">
        <is>
          <t>north</t>
        </is>
      </c>
      <c r="D3" s="23" t="inlineStr">
        <is>
          <t>socially: assembly-based succession, women holding property and title, contract law where the center has patronage</t>
        </is>
      </c>
      <c r="E3" s="23" t="inlineStr">
        <is>
          <t>a rift valley that filled; a lake with a visible former shoreline</t>
        </is>
      </c>
      <c r="F3" s="23" t="inlineStr">
        <is>
          <t>divine judgment on the old seat</t>
        </is>
      </c>
      <c r="G3" s="23" t="inlineStr">
        <is>
          <t>the ground simply dropped</t>
        </is>
      </c>
      <c r="H3" s="23" t="inlineStr">
        <is>
          <t>sect_march</t>
        </is>
      </c>
      <c r="I3" s="23" t="inlineStr">
        <is>
          <t>nmd_simurgh</t>
        </is>
      </c>
      <c r="J3" s="23" t="inlineStr">
        <is>
          <t>in dry years the top of a bell tower breaks the surface; villages sit on the new shoreline and farm the old one</t>
        </is>
      </c>
    </row>
    <row r="4" ht="34.5" customHeight="1" s="18">
      <c r="A4" s="23" t="inlineStr">
        <is>
          <t>rgn_ashland</t>
        </is>
      </c>
      <c r="B4" s="23" t="inlineStr">
        <is>
          <t>the Ashland</t>
        </is>
      </c>
      <c r="C4" s="23" t="inlineStr">
        <is>
          <t>east</t>
        </is>
      </c>
      <c r="D4" s="23" t="inlineStr">
        <is>
          <t>medically: hospitals with wards, optical and surgical instruments up the trade road</t>
        </is>
      </c>
      <c r="E4" s="23" t="inlineStr">
        <is>
          <t>a volcanic field; spectacular soil, bad air</t>
        </is>
      </c>
      <c r="F4" s="23" t="inlineStr">
        <is>
          <t>the earth was punished and the punishment feeds us</t>
        </is>
      </c>
      <c r="G4" s="23" t="inlineStr">
        <is>
          <t>ordinary vulcanism on a long cycle</t>
        </is>
      </c>
      <c r="H4" s="23" t="inlineStr">
        <is>
          <t>sect_vashti</t>
        </is>
      </c>
      <c r="I4" s="23" t="inlineStr">
        <is>
          <t>nmd_karkadann</t>
        </is>
      </c>
      <c r="J4" s="23" t="inlineStr">
        <is>
          <t>miasma tiles live here and stop being generic fog; people farm it anyway because the crops are extraordinary; the Miasma Warden class was born in this ground</t>
        </is>
      </c>
    </row>
    <row r="5" ht="23.25" customHeight="1" s="18">
      <c r="A5" s="23" t="inlineStr">
        <is>
          <t>rgn_glass_flats</t>
        </is>
      </c>
      <c r="B5" s="23" t="inlineStr">
        <is>
          <t>the Glass Flats</t>
        </is>
      </c>
      <c r="C5" s="23" t="inlineStr">
        <is>
          <t>southeast</t>
        </is>
      </c>
      <c r="D5" s="23" t="inlineStr">
        <is>
          <t>mathematically: algebra used for inheritance law, instruments, double-entry along the road</t>
        </is>
      </c>
      <c r="E5" s="23" t="inlineStr">
        <is>
          <t>fused ground, straight-edged, unmistakably made; nothing grows</t>
        </is>
      </c>
      <c r="F5" s="23" t="inlineStr">
        <is>
          <t>a weapon, a thousand years old, per the state</t>
        </is>
      </c>
      <c r="G5" s="23" t="inlineStr">
        <is>
          <t>a weapon, two hundred years old, per a manifest the Company's factors hold</t>
        </is>
      </c>
      <c r="H5" s="23" t="inlineStr">
        <is>
          <t>sect_road</t>
        </is>
      </c>
      <c r="I5" s="23" t="inlineStr">
        <is>
          <t>nmd_anzu</t>
        </is>
      </c>
      <c r="J5" s="23" t="inlineStr">
        <is>
          <t>Namibian register: white sky, hard noon light, mineral color, a single figure legible at distance. Beautiful, not gothic</t>
        </is>
      </c>
    </row>
    <row r="6" ht="34.5" customHeight="1" s="18">
      <c r="A6" s="23" t="inlineStr">
        <is>
          <t>rgn_stepped_coast</t>
        </is>
      </c>
      <c r="B6" s="23" t="inlineStr">
        <is>
          <t>the Stepped Coast</t>
        </is>
      </c>
      <c r="C6" s="23" t="inlineStr">
        <is>
          <t>west</t>
        </is>
      </c>
      <c r="D6" s="23" t="inlineStr">
        <is>
          <t>administratively: decimal officialdom, a labor tax, storehouse networks, knotted-cord records no living person can read</t>
        </is>
      </c>
      <c r="E6" s="23" t="inlineStr">
        <is>
          <t>three raised marine terraces, each a former shoreline, each with a ruined harbor at the wrong altitude</t>
        </is>
      </c>
      <c r="F6" s="23" t="inlineStr">
        <is>
          <t>the sea was driven back by an act of will</t>
        </is>
      </c>
      <c r="G6" s="23" t="inlineStr">
        <is>
          <t>the land rises on a schedule nobody is on</t>
        </is>
      </c>
      <c r="H6" s="23" t="inlineStr">
        <is>
          <t>sect_coast</t>
        </is>
      </c>
      <c r="I6" s="23" t="inlineStr">
        <is>
          <t>nmd_shadhavar</t>
        </is>
      </c>
      <c r="J6" s="23" t="inlineStr">
        <is>
          <t>the quietest and most unsettling scar; purely tectonic and entirely undramatic</t>
        </is>
      </c>
    </row>
    <row r="7" ht="23.25" customHeight="1" s="18">
      <c r="A7" s="23" t="inlineStr">
        <is>
          <t>rgn_the_throat</t>
        </is>
      </c>
      <c r="B7" s="23" t="inlineStr">
        <is>
          <t>the Throat</t>
        </is>
      </c>
      <c r="C7" s="23" t="inlineStr">
        <is>
          <t>southeast</t>
        </is>
      </c>
      <c r="D7" s="23" t="inlineStr">
        <is>
          <t>commercially: credit instruments, brokerage, letters of exchange</t>
        </is>
      </c>
      <c r="E7" s="23" t="inlineStr">
        <is>
          <t>none; the road itself is the feature</t>
        </is>
      </c>
      <c r="F7" s="23" t="n"/>
      <c r="G7" s="23" t="n"/>
      <c r="H7" s="23" t="inlineStr">
        <is>
          <t>sect_road</t>
        </is>
      </c>
      <c r="I7" s="23" t="inlineStr">
        <is>
          <t>nmd_huma</t>
        </is>
      </c>
      <c r="J7" s="23" t="inlineStr">
        <is>
          <t>the Huma drifts here rather than nesting; it never lands, so it belongs to a road rather than a place</t>
        </is>
      </c>
    </row>
    <row r="9" ht="15" customHeight="1" s="18">
      <c r="A9" s="25" t="inlineStr">
        <is>
          <t>DISCIPLINE: every scar supports at least two incompatible explanations and the game confirms none. Sacred vs material is one axis; human vs deity is another. The center is antique, the fringes are current -- learning MOVED east and came back translated, it was never suppressed.</t>
        </is>
      </c>
    </row>
    <row r="10" ht="91" customHeight="1" s="18">
      <c r="A10" s="23" t="inlineStr">
        <is>
          <t>rgn_the_shoulder</t>
        </is>
      </c>
      <c r="B10" s="23" t="inlineStr">
        <is>
          <t>the Shoulder</t>
        </is>
      </c>
      <c r="C10" s="23" t="inlineStr">
        <is>
          <t>east</t>
        </is>
      </c>
      <c r="D10" s="23" t="inlineStr">
        <is>
          <t>spiritually: the only place on the map everyone agrees is different, and nobody agrees why</t>
        </is>
      </c>
      <c r="E10" s="23" t="inlineStr">
        <is>
          <t>the mountain wall itself -- no scar, because nothing happened to it; it is simply higher than anywhere people can live</t>
        </is>
      </c>
      <c r="F10" s="23" t="inlineStr">
        <is>
          <t>the veil is thin and the dead are near</t>
        </is>
      </c>
      <c r="G10" s="23" t="inlineStr">
        <is>
          <t>the air thins and the body fails; men see things because they are suffocating slowly</t>
        </is>
      </c>
      <c r="H10" s="23" t="inlineStr">
        <is>
          <t>sect_march</t>
        </is>
      </c>
      <c r="I10" s="23" t="n"/>
      <c r="J10" s="23" t="inlineStr">
        <is>
          <t>Above the treeline nothing grows. ONE PHENOMENON, FIVE READINGS: the Continuing Word says the veil is thin; the court sect says thin air makes men foolish; the Company does not go, because there is nothing up there to trade with; the Unstained say it is the only ground clean enough to matter; the silent are already up there and will not discuss it. The Throat is the one gap through the wall, which is why the road is worth what it is worth.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I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8" customWidth="1" style="17" min="2" max="3"/>
    <col width="20" customWidth="1" style="17" min="4" max="4"/>
    <col width="40" customWidth="1" style="17" min="5" max="6"/>
    <col width="44" customWidth="1" style="17" min="7" max="8"/>
    <col width="26" customWidth="1" style="18" min="9" max="9"/>
  </cols>
  <sheetData>
    <row r="1" ht="30" customHeight="1" s="18">
      <c r="A1" s="21" t="inlineStr">
        <is>
          <t>named_id</t>
        </is>
      </c>
      <c r="B1" s="21" t="inlineStr">
        <is>
          <t>name</t>
        </is>
      </c>
      <c r="C1" s="21" t="inlineStr">
        <is>
          <t>region_id</t>
        </is>
      </c>
      <c r="D1" s="21" t="inlineStr">
        <is>
          <t>pact_object</t>
        </is>
      </c>
      <c r="E1" s="21" t="inlineStr">
        <is>
          <t>terms</t>
        </is>
      </c>
      <c r="F1" s="21" t="inlineStr">
        <is>
          <t>defection_trigger</t>
        </is>
      </c>
      <c r="G1" s="21" t="inlineStr">
        <is>
          <t>signature_mechanic</t>
        </is>
      </c>
      <c r="H1" s="21" t="inlineStr">
        <is>
          <t>notes</t>
        </is>
      </c>
      <c r="I1" s="21" t="inlineStr">
        <is>
          <t>death_phrase</t>
        </is>
      </c>
    </row>
    <row r="2" ht="23.25" customHeight="1" s="18">
      <c r="A2" s="23" t="inlineStr">
        <is>
          <t>nmd_simurgh</t>
        </is>
      </c>
      <c r="B2" s="23" t="inlineStr">
        <is>
          <t>the Simurgh</t>
        </is>
      </c>
      <c r="C2" s="23" t="inlineStr">
        <is>
          <t>rgn_drowned_march</t>
        </is>
      </c>
      <c r="D2" s="23" t="inlineStr">
        <is>
          <t>the feather</t>
        </is>
      </c>
      <c r="E2" s="23" t="inlineStr">
        <is>
          <t>answers whoever holds the feather, and answers anyone who holds it</t>
        </is>
      </c>
      <c r="F2" s="23" t="inlineStr">
        <is>
          <t>the feather changes hands; she arrives green and stops being green</t>
        </is>
      </c>
      <c r="G2" s="23" t="inlineStr">
        <is>
          <t>5 HP/turn to rider and adjacent allies (flat, not percentage)</t>
        </is>
      </c>
      <c r="H2" s="23" t="inlineStr">
        <is>
          <t>cleanses corruption; the only thing that can strip a pact without a Pardoner, and will not do it on request</t>
        </is>
      </c>
      <c r="I2" s="17" t="inlineStr">
        <is>
          <t>the Simurgh's light</t>
        </is>
      </c>
    </row>
    <row r="3" ht="34.5" customHeight="1" s="18">
      <c r="A3" s="23" t="inlineStr">
        <is>
          <t>nmd_huma</t>
        </is>
      </c>
      <c r="B3" s="23" t="inlineStr">
        <is>
          <t>the Huma</t>
        </is>
      </c>
      <c r="C3" s="23" t="inlineStr">
        <is>
          <t>rgn_the_throat</t>
        </is>
      </c>
      <c r="D3" s="23" t="inlineStr">
        <is>
          <t>no seal; it cannot be owned</t>
        </is>
      </c>
      <c r="E3" s="23" t="inlineStr">
        <is>
          <t>cannot be owned, only flown under; its shadow legitimizes whoever it falls on</t>
        </is>
      </c>
      <c r="F3" s="23" t="inlineStr">
        <is>
          <t>never defects because it was never yours</t>
        </is>
      </c>
      <c r="G3" s="23" t="inlineStr">
        <is>
          <t>MAP HAZARD, NOT A MOUNT: drifts overhead; marked units gain stats and become targeting priority for every enemy</t>
        </is>
      </c>
      <c r="H3" s="23" t="inlineStr">
        <is>
          <t>kill-taboo: whoever lands the blow dies in forty days, no reload undoes it</t>
        </is>
      </c>
      <c r="I3" s="17" t="inlineStr">
        <is>
          <t>the Huma's shadow</t>
        </is>
      </c>
    </row>
    <row r="4" ht="23.25" customHeight="1" s="18">
      <c r="A4" s="23" t="inlineStr">
        <is>
          <t>nmd_anzu</t>
        </is>
      </c>
      <c r="B4" s="23" t="inlineStr">
        <is>
          <t>the Anzu</t>
        </is>
      </c>
      <c r="C4" s="23" t="inlineStr">
        <is>
          <t>rgn_glass_flats</t>
        </is>
      </c>
      <c r="D4" s="23" t="inlineStr">
        <is>
          <t>the register itself</t>
        </is>
      </c>
      <c r="E4" s="23" t="inlineStr">
        <is>
          <t>contracts with whoever can READ the register, not who owns it</t>
        </is>
      </c>
      <c r="F4" s="23" t="inlineStr">
        <is>
          <t>someone demonstrates literacy you lack; ties to the hidden-literacy thread</t>
        </is>
      </c>
      <c r="G4" s="23" t="inlineStr">
        <is>
          <t>contact degrades enemy weapons; only bites what is already worn; broken means unarmed, not dead</t>
        </is>
      </c>
      <c r="H4" s="23" t="inlineStr">
        <is>
          <t>COST: weapons it unmakes cannot be captured, so riding it starves your only supply line</t>
        </is>
      </c>
      <c r="I4" s="17" t="inlineStr">
        <is>
          <t>the Anzu's stoop</t>
        </is>
      </c>
    </row>
    <row r="5" ht="23.25" customHeight="1" s="18">
      <c r="A5" s="23" t="inlineStr">
        <is>
          <t>nmd_karkadann</t>
        </is>
      </c>
      <c r="B5" s="23" t="inlineStr">
        <is>
          <t>the Karkadann</t>
        </is>
      </c>
      <c r="C5" s="23" t="inlineStr">
        <is>
          <t>rgn_ashland</t>
        </is>
      </c>
      <c r="D5" s="23" t="inlineStr">
        <is>
          <t>the nest it guards</t>
        </is>
      </c>
      <c r="E5" s="23" t="inlineStr">
        <is>
          <t>protects what it has decided to protect; nothing negotiates with it</t>
        </is>
      </c>
      <c r="F5" s="23" t="inlineStr">
        <is>
          <t>turns the moment you threaten the doves; state orders and its terms are simply incompatible</t>
        </is>
      </c>
      <c r="G5" s="23" t="inlineStr">
        <is>
          <t>strong against mounted units; devastating charge that leaves it stuck one turn</t>
        </is>
      </c>
      <c r="H5" s="23" t="inlineStr">
        <is>
          <t>the plain one on purpose -- the roster needs one straightforwardly good option</t>
        </is>
      </c>
      <c r="I5" s="17" t="inlineStr">
        <is>
          <t>the Karkadann's charge</t>
        </is>
      </c>
    </row>
    <row r="6" ht="23.25" customHeight="1" s="18">
      <c r="A6" s="23" t="inlineStr">
        <is>
          <t>nmd_shadhavar</t>
        </is>
      </c>
      <c r="B6" s="23" t="inlineStr">
        <is>
          <t>the Shadhavar</t>
        </is>
      </c>
      <c r="C6" s="23" t="inlineStr">
        <is>
          <t>rgn_stepped_coast</t>
        </is>
      </c>
      <c r="D6" s="23" t="inlineStr">
        <is>
          <t>the song</t>
        </is>
      </c>
      <c r="E6" s="23" t="inlineStr">
        <is>
          <t>pacts through beauty; the lure is what it IS, not a trick it performs</t>
        </is>
      </c>
      <c r="F6" s="23" t="inlineStr">
        <is>
          <t>uncontrolled by design</t>
        </is>
      </c>
      <c r="G6" s="23" t="inlineStr">
        <is>
          <t>every turn, pulls the nearest enemy one tile toward the rider; CANNOT be turned off</t>
        </is>
      </c>
      <c r="H6" s="23" t="inlineStr">
        <is>
          <t>liability on escort maps, asset on defend maps</t>
        </is>
      </c>
      <c r="I6" s="17" t="inlineStr">
        <is>
          <t>the Shadhavar's song</t>
        </is>
      </c>
    </row>
    <row r="8" ht="15" customHeight="1" s="18">
      <c r="A8" s="25" t="inlineStr">
        <is>
          <t>Four of five pact with an OBJECT (feather, shadow, text, nest, song) -- obligations attach to things in this world. Three-way capture: intact (marked weapon, keeps its ability) / harvest (diminished, permanent grudge) / kill (two materials, better weapon). The Named know each other: kill one and the next will not be captured.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16" customWidth="1" style="17" min="2" max="2"/>
    <col width="14" customWidth="1" style="17" min="3" max="3"/>
    <col width="34" customWidth="1" style="17" min="4" max="4"/>
    <col width="44" customWidth="1" style="17" min="5" max="6"/>
    <col width="16" customWidth="1" style="17" min="7" max="7"/>
  </cols>
  <sheetData>
    <row r="1" ht="30" customHeight="1" s="18">
      <c r="A1" s="21" t="inlineStr">
        <is>
          <t>state_id</t>
        </is>
      </c>
      <c r="B1" s="21" t="inlineStr">
        <is>
          <t>name</t>
        </is>
      </c>
      <c r="C1" s="21" t="inlineStr">
        <is>
          <t>seat</t>
        </is>
      </c>
      <c r="D1" s="21" t="inlineStr">
        <is>
          <t>constitution</t>
        </is>
      </c>
      <c r="E1" s="21" t="inlineStr">
        <is>
          <t>claim_against_the_other</t>
        </is>
      </c>
      <c r="F1" s="21" t="inlineStr">
        <is>
          <t>elevated_in</t>
        </is>
      </c>
      <c r="G1" s="21" t="inlineStr">
        <is>
          <t>court_sect_id</t>
        </is>
      </c>
    </row>
    <row r="2" ht="23.25" customHeight="1" s="18">
      <c r="A2" s="23" t="inlineStr">
        <is>
          <t>st_diadem</t>
        </is>
      </c>
      <c r="B2" s="23" t="inlineStr">
        <is>
          <t>the Diadem</t>
        </is>
      </c>
      <c r="C2" s="23" t="inlineStr">
        <is>
          <t>Kaisareia</t>
        </is>
      </c>
      <c r="D2" s="23" t="inlineStr">
        <is>
          <t>crowned succession; the older claim</t>
        </is>
      </c>
      <c r="E2" s="23" t="inlineStr">
        <is>
          <t>calls the Assembly a usurpation of an office that cannot be elected</t>
        </is>
      </c>
      <c r="F2" s="23" t="inlineStr">
        <is>
          <t>antique: the largest library on the continent, almost none of it originally theirs</t>
        </is>
      </c>
      <c r="G2" s="23" t="inlineStr">
        <is>
          <t>sect_court</t>
        </is>
      </c>
    </row>
    <row r="3" ht="23.25" customHeight="1" s="18">
      <c r="A3" s="23" t="inlineStr">
        <is>
          <t>st_assembly</t>
        </is>
      </c>
      <c r="B3" s="23" t="inlineStr">
        <is>
          <t>the Assembly</t>
        </is>
      </c>
      <c r="C3" s="23" t="inlineStr">
        <is>
          <t>Vetch</t>
        </is>
      </c>
      <c r="D3" s="23" t="inlineStr">
        <is>
          <t>elective succession; assembly of the great houses</t>
        </is>
      </c>
      <c r="E3" s="23" t="inlineStr">
        <is>
          <t>calls the Diadem a crown worn by whoever survived the last one</t>
        </is>
      </c>
      <c r="F3" s="23" t="inlineStr">
        <is>
          <t>socially current: contract law, property held by women, succession by assent</t>
        </is>
      </c>
      <c r="G3" s="23" t="inlineStr">
        <is>
          <t>sect_court</t>
        </is>
      </c>
    </row>
    <row r="5" ht="15" customHeight="1" s="18">
      <c r="A5" s="25" t="inlineStr">
        <is>
          <t>Both successors claim the same inheritance and use the same word for themselves, the way the eastern empire went on calling itself Roman. The war ended; the claim did not. Neither is the villain and neither is right.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M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4" customWidth="1" style="17" min="2" max="2"/>
    <col width="11" customWidth="1" style="17" min="3" max="3"/>
    <col width="12" customWidth="1" style="17" min="4" max="4"/>
    <col width="8" customWidth="1" style="17" min="5" max="5"/>
    <col width="38" customWidth="1" style="17" min="6" max="6"/>
    <col width="40" customWidth="1" style="17" min="7" max="7"/>
    <col width="15" customWidth="1" style="17" min="8" max="8"/>
    <col width="44" customWidth="1" style="17" min="9" max="9"/>
    <col width="18" customWidth="1" style="18" min="10" max="10"/>
    <col width="18" customWidth="1" style="18" min="11" max="11"/>
    <col width="18" customWidth="1" style="18" min="12" max="12"/>
    <col width="18" customWidth="1" style="18" min="13" max="13"/>
  </cols>
  <sheetData>
    <row r="1" ht="30" customHeight="1" s="18">
      <c r="A1" s="21" t="inlineStr">
        <is>
          <t>defection_id</t>
        </is>
      </c>
      <c r="B1" s="21" t="inlineStr">
        <is>
          <t>unit_id</t>
        </is>
      </c>
      <c r="C1" s="21" t="inlineStr">
        <is>
          <t>route</t>
        </is>
      </c>
      <c r="D1" s="21" t="inlineStr">
        <is>
          <t>kind</t>
        </is>
      </c>
      <c r="E1" s="21" t="inlineStr">
        <is>
          <t>act</t>
        </is>
      </c>
      <c r="F1" s="21" t="inlineStr">
        <is>
          <t>why_they_were_contingent</t>
        </is>
      </c>
      <c r="G1" s="21" t="inlineStr">
        <is>
          <t>trigger</t>
        </is>
      </c>
      <c r="H1" s="21" t="inlineStr">
        <is>
          <t>recruitable_back</t>
        </is>
      </c>
      <c r="I1" s="21" t="inlineStr">
        <is>
          <t>signposting</t>
        </is>
      </c>
      <c r="J1" s="21" t="inlineStr">
        <is>
          <t>trigger_map_id</t>
        </is>
      </c>
      <c r="K1" s="21" t="inlineStr">
        <is>
          <t>trigger_unless_map_id</t>
        </is>
      </c>
      <c r="L1" s="21" t="inlineStr">
        <is>
          <t>return_map_id</t>
        </is>
      </c>
      <c r="M1" s="21" t="inlineStr">
        <is>
          <t>appears_map_id</t>
        </is>
      </c>
    </row>
    <row r="2" ht="23.25" customHeight="1" s="18">
      <c r="A2" s="23" t="inlineStr">
        <is>
          <t>def_waldrada</t>
        </is>
      </c>
      <c r="B2" s="23" t="inlineStr">
        <is>
          <t>u_waldrada</t>
        </is>
      </c>
      <c r="C2" s="23" t="inlineStr">
        <is>
          <t>diadem</t>
        </is>
      </c>
      <c r="D2" s="23" t="inlineStr">
        <is>
          <t>scripted</t>
        </is>
      </c>
      <c r="E2" s="23" t="inlineStr">
        <is>
          <t>act 2</t>
        </is>
      </c>
      <c r="F2" s="23" t="inlineStr">
        <is>
          <t>serves the state that beat her country; loyalty was always contingent</t>
        </is>
      </c>
      <c r="G2" s="23" t="inlineStr">
        <is>
          <t>the Vashti campaign becomes an occupation she will not carry orders for</t>
        </is>
      </c>
      <c r="H2" s="23" t="inlineStr">
        <is>
          <t>no</t>
        </is>
      </c>
      <c r="I2" s="23" t="inlineStr">
        <is>
          <t>signposted across Act 1 supports and her conduct on sect maps</t>
        </is>
      </c>
      <c r="J2" s="17" t="inlineStr">
        <is>
          <t>map_v21</t>
        </is>
      </c>
      <c r="M2" s="17" t="inlineStr">
        <is>
          <t>map_v22</t>
        </is>
      </c>
    </row>
    <row r="3" ht="23.25" customHeight="1" s="18">
      <c r="A3" s="23" t="inlineStr">
        <is>
          <t>def_anselm</t>
        </is>
      </c>
      <c r="B3" s="23" t="inlineStr">
        <is>
          <t>u_anselm</t>
        </is>
      </c>
      <c r="C3" s="23" t="inlineStr">
        <is>
          <t>assembly</t>
        </is>
      </c>
      <c r="D3" s="23" t="inlineStr">
        <is>
          <t>scripted</t>
        </is>
      </c>
      <c r="E3" s="23" t="inlineStr">
        <is>
          <t>act 2</t>
        </is>
      </c>
      <c r="F3" s="23" t="inlineStr">
        <is>
          <t>theology barometer; has been asking the question the whole game</t>
        </is>
      </c>
      <c r="G3" s="23" t="inlineStr">
        <is>
          <t>the crown answers with the court sect: obedience belongs to the throne</t>
        </is>
      </c>
      <c r="H3" s="23" t="inlineStr">
        <is>
          <t>no</t>
        </is>
      </c>
      <c r="I3" s="23" t="inlineStr">
        <is>
          <t>a theological event, not a grievance; he says so before he goes</t>
        </is>
      </c>
      <c r="J3" s="17" t="inlineStr">
        <is>
          <t>map_c21</t>
        </is>
      </c>
      <c r="M3" s="17" t="inlineStr">
        <is>
          <t>map_k21</t>
        </is>
      </c>
    </row>
    <row r="4" ht="23.25" customHeight="1" s="18">
      <c r="A4" s="23" t="inlineStr">
        <is>
          <t>def_maren</t>
        </is>
      </c>
      <c r="B4" s="23" t="inlineStr">
        <is>
          <t>u_maren</t>
        </is>
      </c>
      <c r="C4" s="23" t="inlineStr">
        <is>
          <t>assembly</t>
        </is>
      </c>
      <c r="D4" s="23" t="inlineStr">
        <is>
          <t>conditional</t>
        </is>
      </c>
      <c r="E4" s="23" t="inlineStr">
        <is>
          <t>act 2</t>
        </is>
      </c>
      <c r="F4" s="23" t="inlineStr">
        <is>
          <t>born of the plague; bound for the Miasma Warden line</t>
        </is>
      </c>
      <c r="G4" s="23" t="inlineStr">
        <is>
          <t>the state's medicine policy writes off the Ashland in triage</t>
        </is>
      </c>
      <c r="H4" s="23" t="inlineStr">
        <is>
          <t>yes</t>
        </is>
      </c>
      <c r="I4" s="23" t="inlineStr">
        <is>
          <t>caused by a supply decision several chapters earlier; reversible by a different one</t>
        </is>
      </c>
      <c r="J4" s="17" t="inlineStr">
        <is>
          <t>map_b15</t>
        </is>
      </c>
      <c r="K4" s="17" t="inlineStr">
        <is>
          <t>map_ct19</t>
        </is>
      </c>
      <c r="L4" s="17" t="inlineStr">
        <is>
          <t>map_ct19</t>
        </is>
      </c>
      <c r="M4" s="17" t="inlineStr">
        <is>
          <t>map_tp19</t>
        </is>
      </c>
    </row>
    <row r="6" ht="15" customHeight="1" s="18">
      <c r="A6" s="25" t="inlineStr">
        <is>
          <t>RULES. One scripted defection per route (the story needs one thing the player cannot optimise away) and one conditional. Defection is not death: they leave the roster, appear later as a lieutenant standing near someone else's seal, and every support chain they earned stays readable. They take their epithets and pact obligations with them, so the title list on that pre-battle screen is one the player generated. Never the boss -- the anti-pact toolkit still governs the fight, so the map can be won without killing them. ADDENDUM (2026-10-18): the game now runs these. trigger_map_id: the defection happens when that map is first won (and the unit has joined); trigger_unless_map_id: not if this map is already won (Maren: the Ashland column was worked, so the supply decision went her way); return_map_id: winning it brings a recoverable defector back (Maren, if she has not fallen); appears_map_id: the map where she stands as a lieutenant near the seal (the boss, else the first foe). All four are drafted readings of the trigger/signposting text -- the maps are guesses. A defector who is killed as a lieutenant is gone for good (and cannot be won back).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0" customWidth="1" style="18" min="1" max="1"/>
    <col width="8" customWidth="1" style="18" min="2" max="2"/>
    <col width="12" customWidth="1" style="18" min="3" max="3"/>
    <col width="15" customWidth="1" style="18" min="4" max="4"/>
    <col width="17" customWidth="1" style="18" min="5" max="5"/>
    <col width="45" customWidth="1" style="18" min="6" max="6"/>
    <col width="30" customWidth="1" style="18" min="7" max="7"/>
    <col width="45" customWidth="1" style="18" min="8" max="8"/>
    <col width="30" customWidth="1" style="18" min="9" max="9"/>
    <col width="40" customWidth="1" style="18" min="10" max="10"/>
    <col width="40" customWidth="1" style="18" min="11" max="11"/>
    <col width="18" customWidth="1" style="18" min="12" max="12"/>
    <col width="18" customWidth="1" style="18" min="13" max="13"/>
  </cols>
  <sheetData>
    <row r="1">
      <c r="A1" s="26" t="inlineStr">
        <is>
          <t>guest_id</t>
        </is>
      </c>
      <c r="B1" s="26" t="inlineStr">
        <is>
          <t>name</t>
        </is>
      </c>
      <c r="C1" s="26" t="inlineStr">
        <is>
          <t>sect_id</t>
        </is>
      </c>
      <c r="D1" s="26" t="inlineStr">
        <is>
          <t>base_class_id</t>
        </is>
      </c>
      <c r="E1" s="26" t="inlineStr">
        <is>
          <t>growth_profile_id</t>
        </is>
      </c>
      <c r="F1" s="26" t="inlineStr">
        <is>
          <t>trigger_condition</t>
        </is>
      </c>
      <c r="G1" s="26" t="inlineStr">
        <is>
          <t>joins</t>
        </is>
      </c>
      <c r="H1" s="26" t="inlineStr">
        <is>
          <t>departs</t>
        </is>
      </c>
      <c r="I1" s="26" t="inlineStr">
        <is>
          <t>support_shape</t>
        </is>
      </c>
      <c r="J1" s="26" t="inlineStr">
        <is>
          <t>off_screen_purpose_on_exit</t>
        </is>
      </c>
      <c r="K1" s="26" t="inlineStr">
        <is>
          <t>act3_payoff</t>
        </is>
      </c>
      <c r="L1" s="26" t="inlineStr">
        <is>
          <t>requires_defections</t>
        </is>
      </c>
      <c r="M1" s="26" t="inlineStr">
        <is>
          <t>depart_map_id</t>
        </is>
      </c>
    </row>
    <row r="2">
      <c r="A2" s="17" t="inlineStr">
        <is>
          <t>gst_anna</t>
        </is>
      </c>
      <c r="B2" s="17" t="inlineStr">
        <is>
          <t>Anna</t>
        </is>
      </c>
      <c r="C2" s="17" t="inlineStr">
        <is>
          <t>sect_march</t>
        </is>
      </c>
      <c r="D2" s="17" t="inlineStr">
        <is>
          <t>cls_tr_faith</t>
        </is>
      </c>
      <c r="E2" s="17" t="inlineStr">
        <is>
          <t>gp_healer</t>
        </is>
      </c>
      <c r="F2" s="17" t="inlineStr">
        <is>
          <t>Fires only if BOTH def_anselm AND def_maren have resolved -- either departure alone does not trigger her; the roster still has one faith unit standing in that case.</t>
        </is>
      </c>
      <c r="G2" s="17" t="inlineStr">
        <is>
          <t>Immediately once both defections have resolved.</t>
        </is>
      </c>
      <c r="H2" s="17" t="inlineStr">
        <is>
          <t>Hard departure by the Act 2/3 reunion (ch_x11-adjacent), regardless of whether Maren is later recovered via her conditional defection's reversibility -- this keeps the roster at 18 units / 153 support chains, she is deliberately not part of that grid.</t>
        </is>
      </c>
      <c r="I2" s="17" t="inlineStr">
        <is>
          <t>No tiered support chain -- one fixed scene instead.</t>
        </is>
      </c>
      <c r="J2" s="17" t="inlineStr">
        <is>
          <t>Continues the Continuing Word's rebaptism fieldwork (prc_rebaptism) off-screen after departing -- cross-referencing parish/decan lists to enroll the plague dead by name.</t>
        </is>
      </c>
      <c r="K2" s="17" t="inlineStr">
        <is>
          <t>RECONSTRUCTION GAP -- not included in the changelog summary this row was built from; needs the real text from the source session (see calendar's decan-token row, which references this field directly).</t>
        </is>
      </c>
      <c r="L2" s="17" t="inlineStr">
        <is>
          <t>def_anselm|def_maren</t>
        </is>
      </c>
      <c r="M2" s="17" t="inlineStr">
        <is>
          <t>map_rf20</t>
        </is>
      </c>
    </row>
    <row r="3">
      <c r="A3" s="17" t="inlineStr">
        <is>
          <t>PRINCIPLE -- guest units exist to cover a class niche a scripted/conditional removal could zero out, without bending the departing character's own arc to protect roster math. Modeled on FFXII's guest-character pattern: narrative weight lives almost entirely outside combat tenure, not inside it. ADDENDUM (2026-10-18): requires_defections = every one of these must have happened (not merely one); depart_map_id = she leaves when that map is first won (the reunion: ch_rf20). She joins at the squad's median level less prm_guest_level_gap, fights with her class's basic art, earns no EXP and has no support chain.</t>
        </is>
      </c>
    </row>
    <row r="4">
      <c r="A4" s="17" t="inlineStr">
        <is>
          <t>RECONSTRUCTED 2026-09-15 by a Claude Code session from a changelog summary of edits made in a separate Claude.ai session on this same workbook -- not copied verbatim from that session's actual file. Field text for trigger_condition/joins/departs/support_shape/off_screen_purpose_on_exit is a faithful reconstruction of what the changelog described; act3_payoff is a known gap (see that column's note). Verify against the source session if exact wording matters.</t>
        </is>
      </c>
    </row>
  </sheetData>
  <pageMargins left="0.75" right="0.75" top="1" bottom="1" header="0.5" footer="0.5"/>
</worksheet>
</file>

<file path=xl/worksheets/sheet23.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34" customWidth="1" style="17" min="2" max="2"/>
    <col width="20" customWidth="1" style="17" min="3" max="3"/>
    <col width="11" customWidth="1" style="17" min="4" max="4"/>
    <col width="14" customWidth="1" style="17" min="5" max="5"/>
    <col width="12" customWidth="1" style="17" min="6" max="6"/>
    <col width="62" customWidth="1" style="17" min="7" max="7"/>
    <col width="14" customWidth="1" style="18" min="8" max="8"/>
    <col width="14" customWidth="1" style="18" min="9" max="9"/>
  </cols>
  <sheetData>
    <row r="1" ht="30" customHeight="1" s="18">
      <c r="A1" s="21" t="inlineStr">
        <is>
          <t>location_id</t>
        </is>
      </c>
      <c r="B1" s="21" t="inlineStr">
        <is>
          <t>name</t>
        </is>
      </c>
      <c r="C1" s="21" t="inlineStr">
        <is>
          <t>region_id</t>
        </is>
      </c>
      <c r="D1" s="21" t="inlineStr">
        <is>
          <t>route</t>
        </is>
      </c>
      <c r="E1" s="21" t="inlineStr">
        <is>
          <t>chapters</t>
        </is>
      </c>
      <c r="F1" s="21" t="inlineStr">
        <is>
          <t>acts</t>
        </is>
      </c>
      <c r="G1" s="21" t="inlineStr">
        <is>
          <t>what_the_ground_is_for</t>
        </is>
      </c>
      <c r="H1" s="21" t="inlineStr">
        <is>
          <t>map_x</t>
        </is>
      </c>
      <c r="I1" s="21" t="inlineStr">
        <is>
          <t>map_y</t>
        </is>
      </c>
    </row>
    <row r="2" ht="15" customHeight="1" s="18">
      <c r="A2" s="23" t="inlineStr">
        <is>
          <t>loc_tally_house</t>
        </is>
      </c>
      <c r="B2" s="23" t="inlineStr">
        <is>
          <t>Kaisareia dockside, the tally house</t>
        </is>
      </c>
      <c r="C2" s="23" t="inlineStr">
        <is>
          <t>rgn_center</t>
        </is>
      </c>
      <c r="D2" s="23" t="inlineStr">
        <is>
          <t>diadem</t>
        </is>
      </c>
      <c r="E2" s="23" t="inlineStr">
        <is>
          <t>1, 26</t>
        </is>
      </c>
      <c r="F2" s="23" t="inlineStr">
        <is>
          <t>1, 3</t>
        </is>
      </c>
      <c r="G2" s="23" t="inlineStr">
        <is>
          <t>night docks, neutral porters; where the avatar starts as a clerk</t>
        </is>
      </c>
      <c r="H2" s="17" t="n">
        <v>450</v>
      </c>
      <c r="I2" s="17" t="n">
        <v>320</v>
      </c>
    </row>
    <row r="3" ht="15" customHeight="1" s="18">
      <c r="A3" s="23" t="inlineStr">
        <is>
          <t>loc_weighbridge</t>
        </is>
      </c>
      <c r="B3" s="23" t="inlineStr">
        <is>
          <t>The weighbridge, lowland estates</t>
        </is>
      </c>
      <c r="C3" s="23" t="inlineStr">
        <is>
          <t>rgn_center</t>
        </is>
      </c>
      <c r="D3" s="23" t="inlineStr">
        <is>
          <t>diadem</t>
        </is>
      </c>
      <c r="E3" s="23" t="inlineStr">
        <is>
          <t>2</t>
        </is>
      </c>
      <c r="F3" s="23" t="inlineStr">
        <is>
          <t>1</t>
        </is>
      </c>
      <c r="G3" s="23" t="inlineStr">
        <is>
          <t>hedgerow country; a requisition writ enforced on a reluctant house</t>
        </is>
      </c>
      <c r="H3" s="17" t="n">
        <v>545</v>
      </c>
      <c r="I3" s="17" t="n">
        <v>335</v>
      </c>
    </row>
    <row r="4" ht="15" customHeight="1" s="18">
      <c r="A4" s="23" t="inlineStr">
        <is>
          <t>loc_grain_road</t>
        </is>
      </c>
      <c r="B4" s="23" t="inlineStr">
        <is>
          <t>The grain road</t>
        </is>
      </c>
      <c r="C4" s="23" t="inlineStr">
        <is>
          <t>rgn_center</t>
        </is>
      </c>
      <c r="D4" s="23" t="inlineStr">
        <is>
          <t>diadem</t>
        </is>
      </c>
      <c r="E4" s="23" t="inlineStr">
        <is>
          <t>3, 24</t>
        </is>
      </c>
      <c r="F4" s="23" t="inlineStr">
        <is>
          <t>1, 3</t>
        </is>
      </c>
      <c r="G4" s="23" t="inlineStr">
        <is>
          <t>bridge choke and a foot-only ford; wagons move 4</t>
        </is>
      </c>
      <c r="H4" s="17" t="n">
        <v>625</v>
      </c>
      <c r="I4" s="17" t="n">
        <v>320</v>
      </c>
    </row>
    <row r="5" ht="15" customHeight="1" s="18">
      <c r="A5" s="23" t="inlineStr">
        <is>
          <t>loc_thessala</t>
        </is>
      </c>
      <c r="B5" s="23" t="inlineStr">
        <is>
          <t>Thessala harbour</t>
        </is>
      </c>
      <c r="C5" s="23" t="inlineStr">
        <is>
          <t>rgn_center</t>
        </is>
      </c>
      <c r="D5" s="23" t="inlineStr">
        <is>
          <t>diadem</t>
        </is>
      </c>
      <c r="E5" s="23" t="inlineStr">
        <is>
          <t>4</t>
        </is>
      </c>
      <c r="F5" s="23" t="inlineStr">
        <is>
          <t>1</t>
        </is>
      </c>
      <c r="G5" s="23" t="inlineStr">
        <is>
          <t>south coast; grain bought abroad, unloaded under protest</t>
        </is>
      </c>
      <c r="H5" s="17" t="n">
        <v>650</v>
      </c>
      <c r="I5" s="17" t="n">
        <v>440</v>
      </c>
    </row>
    <row r="6" ht="15" customHeight="1" s="18">
      <c r="A6" s="23" t="inlineStr">
        <is>
          <t>loc_salt_ford</t>
        </is>
      </c>
      <c r="B6" s="23" t="inlineStr">
        <is>
          <t>The salt ford, lower Scar</t>
        </is>
      </c>
      <c r="C6" s="23" t="inlineStr">
        <is>
          <t>rgn_center</t>
        </is>
      </c>
      <c r="D6" s="23" t="inlineStr">
        <is>
          <t>diadem</t>
        </is>
      </c>
      <c r="E6" s="23" t="inlineStr">
        <is>
          <t>5, 27</t>
        </is>
      </c>
      <c r="F6" s="23" t="inlineStr">
        <is>
          <t>1, 3</t>
        </is>
      </c>
      <c r="G6" s="23" t="inlineStr">
        <is>
          <t>the rift crossed where it is shallow; the only southern crossing</t>
        </is>
      </c>
      <c r="H6" s="17" t="n">
        <v>540</v>
      </c>
      <c r="I6" s="17" t="n">
        <v>420</v>
      </c>
    </row>
    <row r="7" ht="15" customHeight="1" s="18">
      <c r="A7" s="23" t="inlineStr">
        <is>
          <t>loc_anthe</t>
        </is>
      </c>
      <c r="B7" s="23" t="inlineStr">
        <is>
          <t>Anthe, on the terraces</t>
        </is>
      </c>
      <c r="C7" s="23" t="inlineStr">
        <is>
          <t>rgn_stepped_coast</t>
        </is>
      </c>
      <c r="D7" s="23" t="inlineStr">
        <is>
          <t>diadem</t>
        </is>
      </c>
      <c r="E7" s="23" t="inlineStr">
        <is>
          <t>6</t>
        </is>
      </c>
      <c r="F7" s="23" t="inlineStr">
        <is>
          <t>1</t>
        </is>
      </c>
      <c r="G7" s="23" t="inlineStr">
        <is>
          <t>a port stranded above its own water; three levels of street</t>
        </is>
      </c>
      <c r="H7" s="17" t="n">
        <v>300</v>
      </c>
      <c r="I7" s="17" t="n">
        <v>435</v>
      </c>
    </row>
    <row r="8" ht="15" customHeight="1" s="18">
      <c r="A8" s="23" t="inlineStr">
        <is>
          <t>loc_stranded_harbour</t>
        </is>
      </c>
      <c r="B8" s="23" t="inlineStr">
        <is>
          <t>The stranded harbour</t>
        </is>
      </c>
      <c r="C8" s="23" t="inlineStr">
        <is>
          <t>rgn_stepped_coast</t>
        </is>
      </c>
      <c r="D8" s="23" t="inlineStr">
        <is>
          <t>diadem</t>
        </is>
      </c>
      <c r="E8" s="23" t="inlineStr">
        <is>
          <t>7</t>
        </is>
      </c>
      <c r="F8" s="23" t="inlineStr">
        <is>
          <t>1</t>
        </is>
      </c>
      <c r="G8" s="23" t="inlineStr">
        <is>
          <t>ruin on the middle terrace; the renunciants live in it</t>
        </is>
      </c>
      <c r="H8" s="17" t="n">
        <v>210</v>
      </c>
      <c r="I8" s="17" t="n">
        <v>365</v>
      </c>
    </row>
    <row r="9" ht="15" customHeight="1" s="18">
      <c r="A9" s="23" t="inlineStr">
        <is>
          <t>loc_dry_country</t>
        </is>
      </c>
      <c r="B9" s="23" t="inlineStr">
        <is>
          <t>The dry country</t>
        </is>
      </c>
      <c r="C9" s="23" t="inlineStr">
        <is>
          <t>rgn_center</t>
        </is>
      </c>
      <c r="D9" s="23" t="inlineStr">
        <is>
          <t>diadem</t>
        </is>
      </c>
      <c r="E9" s="23" t="inlineStr">
        <is>
          <t>8, 23</t>
        </is>
      </c>
      <c r="F9" s="23" t="inlineStr">
        <is>
          <t>1, 3</t>
        </is>
      </c>
      <c r="G9" s="23" t="inlineStr">
        <is>
          <t>open ground, no cover, the map that punishes slow armies</t>
        </is>
      </c>
      <c r="H9" s="17" t="n">
        <v>400</v>
      </c>
      <c r="I9" s="17" t="n">
        <v>365</v>
      </c>
    </row>
    <row r="10" ht="15" customHeight="1" s="18">
      <c r="A10" s="23" t="inlineStr">
        <is>
          <t>loc_vashti_road</t>
        </is>
      </c>
      <c r="B10" s="23" t="inlineStr">
        <is>
          <t>The Vashti road</t>
        </is>
      </c>
      <c r="C10" s="23" t="inlineStr">
        <is>
          <t>rgn_ashland</t>
        </is>
      </c>
      <c r="D10" s="23" t="inlineStr">
        <is>
          <t>diadem</t>
        </is>
      </c>
      <c r="E10" s="23" t="inlineStr">
        <is>
          <t>9</t>
        </is>
      </c>
      <c r="F10" s="23" t="inlineStr">
        <is>
          <t>1</t>
        </is>
      </c>
      <c r="G10" s="23" t="inlineStr">
        <is>
          <t>the single road east; lava fans narrow it to one lane in places</t>
        </is>
      </c>
      <c r="H10" s="17" t="n">
        <v>790</v>
      </c>
      <c r="I10" s="17" t="n">
        <v>330</v>
      </c>
    </row>
    <row r="11" ht="15" customHeight="1" s="18">
      <c r="A11" s="23" t="inlineStr">
        <is>
          <t>loc_vashti_gate</t>
        </is>
      </c>
      <c r="B11" s="23" t="inlineStr">
        <is>
          <t>Vashti gate</t>
        </is>
      </c>
      <c r="C11" s="23" t="inlineStr">
        <is>
          <t>rgn_ashland</t>
        </is>
      </c>
      <c r="D11" s="23" t="inlineStr">
        <is>
          <t>diadem</t>
        </is>
      </c>
      <c r="E11" s="23" t="inlineStr">
        <is>
          <t>10, 12, 28</t>
        </is>
      </c>
      <c r="F11" s="23" t="inlineStr">
        <is>
          <t>1, 2, 3</t>
        </is>
      </c>
      <c r="G11" s="23" t="inlineStr">
        <is>
          <t>the occupied seat; the Unstained will not talk to you</t>
        </is>
      </c>
      <c r="H11" s="17" t="n">
        <v>890</v>
      </c>
      <c r="I11" s="17" t="n">
        <v>290</v>
      </c>
    </row>
    <row r="12" ht="15" customHeight="1" s="18">
      <c r="A12" s="23" t="inlineStr">
        <is>
          <t>loc_vetch_gate</t>
        </is>
      </c>
      <c r="B12" s="23" t="inlineStr">
        <is>
          <t>Vetch, the winter dole</t>
        </is>
      </c>
      <c r="C12" s="23" t="inlineStr">
        <is>
          <t>rgn_drowned_march</t>
        </is>
      </c>
      <c r="D12" s="23" t="inlineStr">
        <is>
          <t>assembly</t>
        </is>
      </c>
      <c r="E12" s="23" t="inlineStr">
        <is>
          <t>1, 26</t>
        </is>
      </c>
      <c r="F12" s="23" t="inlineStr">
        <is>
          <t>1, 3</t>
        </is>
      </c>
      <c r="G12" s="23" t="inlineStr">
        <is>
          <t>medicine cart to a gate; civilians chase it, looters follow</t>
        </is>
      </c>
      <c r="H12" s="17" t="n">
        <v>280</v>
      </c>
      <c r="I12" s="17" t="n">
        <v>120</v>
      </c>
    </row>
    <row r="13" ht="15" customHeight="1" s="18">
      <c r="A13" s="23" t="inlineStr">
        <is>
          <t>loc_still_town</t>
        </is>
      </c>
      <c r="B13" s="23" t="inlineStr">
        <is>
          <t>The apothecary town</t>
        </is>
      </c>
      <c r="C13" s="23" t="inlineStr">
        <is>
          <t>rgn_drowned_march</t>
        </is>
      </c>
      <c r="D13" s="23" t="inlineStr">
        <is>
          <t>assembly</t>
        </is>
      </c>
      <c r="E13" s="23" t="inlineStr">
        <is>
          <t>2</t>
        </is>
      </c>
      <c r="F13" s="23" t="inlineStr">
        <is>
          <t>1</t>
        </is>
      </c>
      <c r="G13" s="23" t="inlineStr">
        <is>
          <t>three streets of different widths; a preacher converting one a turn</t>
        </is>
      </c>
      <c r="H13" s="17" t="n">
        <v>350</v>
      </c>
      <c r="I13" s="17" t="n">
        <v>170</v>
      </c>
    </row>
    <row r="14" ht="15" customHeight="1" s="18">
      <c r="A14" s="23" t="inlineStr">
        <is>
          <t>loc_chapterhouse</t>
        </is>
      </c>
      <c r="B14" s="23" t="inlineStr">
        <is>
          <t>The ruined chapterhouse</t>
        </is>
      </c>
      <c r="C14" s="23" t="inlineStr">
        <is>
          <t>rgn_drowned_march</t>
        </is>
      </c>
      <c r="D14" s="23" t="inlineStr">
        <is>
          <t>assembly</t>
        </is>
      </c>
      <c r="E14" s="23" t="inlineStr">
        <is>
          <t>3</t>
        </is>
      </c>
      <c r="F14" s="23" t="inlineStr">
        <is>
          <t>1</t>
        </is>
      </c>
      <c r="G14" s="23" t="inlineStr">
        <is>
          <t>escape map; relic hunters reinforce forever; a reliquary to take or give</t>
        </is>
      </c>
      <c r="H14" s="17" t="n">
        <v>440</v>
      </c>
      <c r="I14" s="17" t="n">
        <v>120</v>
      </c>
    </row>
    <row r="15" ht="15" customHeight="1" s="18">
      <c r="A15" s="23" t="inlineStr">
        <is>
          <t>loc_halder</t>
        </is>
      </c>
      <c r="B15" s="23" t="inlineStr">
        <is>
          <t>Halder harbour</t>
        </is>
      </c>
      <c r="C15" s="23" t="inlineStr">
        <is>
          <t>rgn_drowned_march</t>
        </is>
      </c>
      <c r="D15" s="23" t="inlineStr">
        <is>
          <t>assembly</t>
        </is>
      </c>
      <c r="E15" s="23" t="inlineStr">
        <is>
          <t>4</t>
        </is>
      </c>
      <c r="F15" s="23" t="inlineStr">
        <is>
          <t>1</t>
        </is>
      </c>
      <c r="G15" s="23" t="inlineStr">
        <is>
          <t>north coast; exotic medicines bought from people who know it</t>
        </is>
      </c>
      <c r="H15" s="17" t="n">
        <v>400</v>
      </c>
      <c r="I15" s="17" t="n">
        <v>50</v>
      </c>
    </row>
    <row r="16" ht="15" customHeight="1" s="18">
      <c r="A16" s="23" t="inlineStr">
        <is>
          <t>loc_lake_shore</t>
        </is>
      </c>
      <c r="B16" s="23" t="inlineStr">
        <is>
          <t>The lake shore</t>
        </is>
      </c>
      <c r="C16" s="23" t="inlineStr">
        <is>
          <t>rgn_drowned_march</t>
        </is>
      </c>
      <c r="D16" s="23" t="inlineStr">
        <is>
          <t>assembly</t>
        </is>
      </c>
      <c r="E16" s="23" t="inlineStr">
        <is>
          <t>5, 25</t>
        </is>
      </c>
      <c r="F16" s="23" t="inlineStr">
        <is>
          <t>1, 3</t>
        </is>
      </c>
      <c r="G16" s="23" t="inlineStr">
        <is>
          <t>the drowned town; a bell tower breaking the surface in dry years</t>
        </is>
      </c>
      <c r="H16" s="17" t="n">
        <v>520</v>
      </c>
      <c r="I16" s="17" t="n">
        <v>80</v>
      </c>
    </row>
    <row r="17" ht="15" customHeight="1" s="18">
      <c r="A17" s="23" t="inlineStr">
        <is>
          <t>loc_ostrova</t>
        </is>
      </c>
      <c r="B17" s="23" t="inlineStr">
        <is>
          <t>Ostrova and the marches</t>
        </is>
      </c>
      <c r="C17" s="23" t="inlineStr">
        <is>
          <t>rgn_drowned_march</t>
        </is>
      </c>
      <c r="D17" s="23" t="inlineStr">
        <is>
          <t>assembly</t>
        </is>
      </c>
      <c r="E17" s="23" t="inlineStr">
        <is>
          <t>6</t>
        </is>
      </c>
      <c r="F17" s="23" t="inlineStr">
        <is>
          <t>1</t>
        </is>
      </c>
      <c r="G17" s="23" t="inlineStr">
        <is>
          <t>steppe edge; the Assembly's eastern city, closer to the Plains than to Vetch</t>
        </is>
      </c>
      <c r="H17" s="17" t="n">
        <v>680</v>
      </c>
      <c r="I17" s="17" t="n">
        <v>70</v>
      </c>
    </row>
    <row r="18" ht="15" customHeight="1" s="18">
      <c r="A18" s="23" t="inlineStr">
        <is>
          <t>loc_upper_scar</t>
        </is>
      </c>
      <c r="B18" s="23" t="inlineStr">
        <is>
          <t>The upper Scar</t>
        </is>
      </c>
      <c r="C18" s="23" t="inlineStr">
        <is>
          <t>rgn_drowned_march</t>
        </is>
      </c>
      <c r="D18" s="23" t="inlineStr">
        <is>
          <t>assembly</t>
        </is>
      </c>
      <c r="E18" s="23" t="inlineStr">
        <is>
          <t>7, 27</t>
        </is>
      </c>
      <c r="F18" s="23" t="inlineStr">
        <is>
          <t>1, 3</t>
        </is>
      </c>
      <c r="G18" s="23" t="inlineStr">
        <is>
          <t>escarpment fighting; the rift where it is still a cliff</t>
        </is>
      </c>
      <c r="H18" s="17" t="n">
        <v>770</v>
      </c>
      <c r="I18" s="17" t="n">
        <v>135</v>
      </c>
    </row>
    <row r="19" ht="15" customHeight="1" s="18">
      <c r="A19" s="23" t="inlineStr">
        <is>
          <t>loc_timber_road</t>
        </is>
      </c>
      <c r="B19" s="23" t="inlineStr">
        <is>
          <t>The timber road</t>
        </is>
      </c>
      <c r="C19" s="23" t="inlineStr">
        <is>
          <t>rgn_drowned_march</t>
        </is>
      </c>
      <c r="D19" s="23" t="inlineStr">
        <is>
          <t>assembly</t>
        </is>
      </c>
      <c r="E19" s="23" t="inlineStr">
        <is>
          <t>8, 23</t>
        </is>
      </c>
      <c r="F19" s="23" t="inlineStr">
        <is>
          <t>1, 3</t>
        </is>
      </c>
      <c r="G19" s="23" t="inlineStr">
        <is>
          <t>forest; the map where fliers are worthless and archers are not</t>
        </is>
      </c>
      <c r="H19" s="17" t="n">
        <v>690</v>
      </c>
      <c r="I19" s="17" t="n">
        <v>190</v>
      </c>
    </row>
    <row r="20" ht="15" customHeight="1" s="18">
      <c r="A20" s="23" t="inlineStr">
        <is>
          <t>loc_march_shrine</t>
        </is>
      </c>
      <c r="B20" s="23" t="inlineStr">
        <is>
          <t>The March shrine</t>
        </is>
      </c>
      <c r="C20" s="23" t="inlineStr">
        <is>
          <t>rgn_drowned_march</t>
        </is>
      </c>
      <c r="D20" s="23" t="inlineStr">
        <is>
          <t>assembly</t>
        </is>
      </c>
      <c r="E20" s="23" t="inlineStr">
        <is>
          <t>9</t>
        </is>
      </c>
      <c r="F20" s="23" t="inlineStr">
        <is>
          <t>1</t>
        </is>
      </c>
      <c r="G20" s="23" t="inlineStr">
        <is>
          <t>living prophecy; a sect that thinks revelation never stopped</t>
        </is>
      </c>
      <c r="H20" s="17" t="n">
        <v>580</v>
      </c>
      <c r="I20" s="17" t="n">
        <v>175</v>
      </c>
    </row>
    <row r="21" ht="15" customHeight="1" s="18">
      <c r="A21" s="23" t="inlineStr">
        <is>
          <t>loc_vetch_chapel</t>
        </is>
      </c>
      <c r="B21" s="23" t="inlineStr">
        <is>
          <t>The King's Chapel, Vetch</t>
        </is>
      </c>
      <c r="C21" s="23" t="inlineStr">
        <is>
          <t>rgn_drowned_march</t>
        </is>
      </c>
      <c r="D21" s="23" t="inlineStr">
        <is>
          <t>assembly</t>
        </is>
      </c>
      <c r="E21" s="23" t="inlineStr">
        <is>
          <t>10, 12, 28</t>
        </is>
      </c>
      <c r="F21" s="23" t="inlineStr">
        <is>
          <t>1, 2, 3</t>
        </is>
      </c>
      <c r="G21" s="23" t="inlineStr">
        <is>
          <t>the court sect at home; obedience belongs to the throne</t>
        </is>
      </c>
      <c r="H21" s="17" t="n">
        <v>230</v>
      </c>
      <c r="I21" s="17" t="n">
        <v>190</v>
      </c>
    </row>
    <row r="22" ht="15" customHeight="1" s="18">
      <c r="A22" s="23" t="inlineStr">
        <is>
          <t>loc_muster_field</t>
        </is>
      </c>
      <c r="B22" s="23" t="inlineStr">
        <is>
          <t>The muster field</t>
        </is>
      </c>
      <c r="C22" s="23" t="inlineStr">
        <is>
          <t>rgn_center</t>
        </is>
      </c>
      <c r="D22" s="23" t="inlineStr">
        <is>
          <t>both</t>
        </is>
      </c>
      <c r="E22" s="23" t="inlineStr">
        <is>
          <t>11, 30</t>
        </is>
      </c>
      <c r="F22" s="23" t="inlineStr">
        <is>
          <t>2, 3</t>
        </is>
      </c>
      <c r="G22" s="23" t="inlineStr">
        <is>
          <t>largest map; whole army deployed once; two timed objectives, one force</t>
        </is>
      </c>
      <c r="H22" s="17" t="n">
        <v>600</v>
      </c>
      <c r="I22" s="17" t="n">
        <v>230</v>
      </c>
    </row>
    <row r="23" ht="15" customHeight="1" s="18">
      <c r="A23" s="23" t="inlineStr">
        <is>
          <t>loc_cinder_track</t>
        </is>
      </c>
      <c r="B23" s="23" t="inlineStr">
        <is>
          <t>The cinder track</t>
        </is>
      </c>
      <c r="C23" s="23" t="inlineStr">
        <is>
          <t>rgn_ashland</t>
        </is>
      </c>
      <c r="D23" s="23" t="inlineStr">
        <is>
          <t>both</t>
        </is>
      </c>
      <c r="E23" s="23" t="inlineStr">
        <is>
          <t>14, 16</t>
        </is>
      </c>
      <c r="F23" s="23" t="inlineStr">
        <is>
          <t>2</t>
        </is>
      </c>
      <c r="G23" s="23" t="inlineStr">
        <is>
          <t>column A; ash underfoot, bad air, the Karkadann's country</t>
        </is>
      </c>
      <c r="H23" s="17" t="n">
        <v>830</v>
      </c>
      <c r="I23" s="17" t="n">
        <v>400</v>
      </c>
    </row>
    <row r="24" ht="15" customHeight="1" s="18">
      <c r="A24" s="23" t="inlineStr">
        <is>
          <t>loc_caravanserai</t>
        </is>
      </c>
      <c r="B24" s="23" t="inlineStr">
        <is>
          <t>Lade caravanserai</t>
        </is>
      </c>
      <c r="C24" s="23" t="inlineStr">
        <is>
          <t>rgn_the_throat</t>
        </is>
      </c>
      <c r="D24" s="23" t="inlineStr">
        <is>
          <t>both</t>
        </is>
      </c>
      <c r="E24" s="23" t="inlineStr">
        <is>
          <t>13, 15</t>
        </is>
      </c>
      <c r="F24" s="23" t="inlineStr">
        <is>
          <t>2</t>
        </is>
      </c>
      <c r="G24" s="23" t="inlineStr">
        <is>
          <t>column B; prices rise every turn a fight is visible in the bazaar</t>
        </is>
      </c>
      <c r="H24" s="17" t="n">
        <v>1010</v>
      </c>
      <c r="I24" s="17" t="n">
        <v>330</v>
      </c>
    </row>
    <row r="25" ht="15" customHeight="1" s="18">
      <c r="A25" s="23" t="inlineStr">
        <is>
          <t>loc_throat_pass</t>
        </is>
      </c>
      <c r="B25" s="23" t="inlineStr">
        <is>
          <t>The Throat pass</t>
        </is>
      </c>
      <c r="C25" s="23" t="inlineStr">
        <is>
          <t>rgn_the_throat</t>
        </is>
      </c>
      <c r="D25" s="23" t="inlineStr">
        <is>
          <t>both</t>
        </is>
      </c>
      <c r="E25" s="23" t="inlineStr">
        <is>
          <t>17, 19</t>
        </is>
      </c>
      <c r="F25" s="23" t="inlineStr">
        <is>
          <t>2</t>
        </is>
      </c>
      <c r="G25" s="23" t="inlineStr">
        <is>
          <t>column B; the road east, held by whoever taxes it this year</t>
        </is>
      </c>
      <c r="H25" s="17" t="n">
        <v>1060</v>
      </c>
      <c r="I25" s="17" t="n">
        <v>430</v>
      </c>
    </row>
    <row r="26" ht="15" customHeight="1" s="18">
      <c r="A26" s="23" t="inlineStr">
        <is>
          <t>loc_glass_edge</t>
        </is>
      </c>
      <c r="B26" s="23" t="inlineStr">
        <is>
          <t>The edge of the Glass Flats</t>
        </is>
      </c>
      <c r="C26" s="23" t="inlineStr">
        <is>
          <t>rgn_glass_flats</t>
        </is>
      </c>
      <c r="D26" s="23" t="inlineStr">
        <is>
          <t>both</t>
        </is>
      </c>
      <c r="E26" s="23" t="inlineStr">
        <is>
          <t>18, 29</t>
        </is>
      </c>
      <c r="F26" s="23" t="inlineStr">
        <is>
          <t>2, 3</t>
        </is>
      </c>
      <c r="G26" s="23" t="inlineStr">
        <is>
          <t>column A; straight-edged fused ground, nothing grows, nobody agrees why</t>
        </is>
      </c>
      <c r="H26" s="17" t="n">
        <v>780</v>
      </c>
      <c r="I26" s="17" t="n">
        <v>480</v>
      </c>
    </row>
    <row r="27" ht="15" customHeight="1" s="18">
      <c r="A27" s="23" t="inlineStr">
        <is>
          <t>loc_reunion_field</t>
        </is>
      </c>
      <c r="B27" s="23" t="inlineStr">
        <is>
          <t>The reunion</t>
        </is>
      </c>
      <c r="C27" s="23" t="inlineStr">
        <is>
          <t>rgn_center</t>
        </is>
      </c>
      <c r="D27" s="23" t="inlineStr">
        <is>
          <t>both</t>
        </is>
      </c>
      <c r="E27" s="23" t="inlineStr">
        <is>
          <t>20</t>
        </is>
      </c>
      <c r="F27" s="23" t="inlineStr">
        <is>
          <t>2</t>
        </is>
      </c>
      <c r="G27" s="23" t="inlineStr">
        <is>
          <t>columns meet; whatever each lost is visible in what each brings</t>
        </is>
      </c>
      <c r="H27" s="17" t="n">
        <v>700</v>
      </c>
      <c r="I27" s="17" t="n">
        <v>360</v>
      </c>
    </row>
    <row r="28" ht="15" customHeight="1" s="18">
      <c r="A28" s="23" t="inlineStr">
        <is>
          <t>loc_kaisareia_walls</t>
        </is>
      </c>
      <c r="B28" s="23" t="inlineStr">
        <is>
          <t>Kaisareia, the granary district</t>
        </is>
      </c>
      <c r="C28" s="23" t="inlineStr">
        <is>
          <t>rgn_center</t>
        </is>
      </c>
      <c r="D28" s="23" t="inlineStr">
        <is>
          <t>both</t>
        </is>
      </c>
      <c r="E28" s="23" t="inlineStr">
        <is>
          <t>21, 22</t>
        </is>
      </c>
      <c r="F28" s="23" t="inlineStr">
        <is>
          <t>3</t>
        </is>
      </c>
      <c r="G28" s="23" t="inlineStr">
        <is>
          <t>the capital as a battlefield; the synod's colossus is fed from here</t>
        </is>
      </c>
      <c r="H28" s="17" t="n">
        <v>500</v>
      </c>
      <c r="I28" s="17" t="n">
        <v>270</v>
      </c>
    </row>
    <row r="29" ht="15" customHeight="1" s="18">
      <c r="A29" s="23" t="inlineStr">
        <is>
          <t>loc_simurgh_nest</t>
        </is>
      </c>
      <c r="B29" s="23" t="inlineStr">
        <is>
          <t>The mountain above the lake</t>
        </is>
      </c>
      <c r="C29" s="23" t="inlineStr">
        <is>
          <t>rgn_drowned_march</t>
        </is>
      </c>
      <c r="D29" s="23" t="inlineStr">
        <is>
          <t>both</t>
        </is>
      </c>
      <c r="E29" s="23" t="inlineStr">
        <is>
          <t>P</t>
        </is>
      </c>
      <c r="F29" s="23" t="inlineStr">
        <is>
          <t>paralogue</t>
        </is>
      </c>
      <c r="G29" s="23" t="inlineStr">
        <is>
          <t>the Simurgh; a foster-mother who answers whoever holds the feather</t>
        </is>
      </c>
      <c r="H29" s="17" t="n">
        <v>600</v>
      </c>
      <c r="I29" s="17" t="n">
        <v>30</v>
      </c>
    </row>
    <row r="30" ht="15" customHeight="1" s="18">
      <c r="A30" s="23" t="inlineStr">
        <is>
          <t>loc_dove_colony</t>
        </is>
      </c>
      <c r="B30" s="23" t="inlineStr">
        <is>
          <t>The dove colony</t>
        </is>
      </c>
      <c r="C30" s="23" t="inlineStr">
        <is>
          <t>rgn_ashland</t>
        </is>
      </c>
      <c r="D30" s="23" t="inlineStr">
        <is>
          <t>both</t>
        </is>
      </c>
      <c r="E30" s="23" t="inlineStr">
        <is>
          <t>P</t>
        </is>
      </c>
      <c r="F30" s="23" t="inlineStr">
        <is>
          <t>paralogue</t>
        </is>
      </c>
      <c r="G30" s="23" t="inlineStr">
        <is>
          <t>the Karkadann; it guards what it has decided to guard</t>
        </is>
      </c>
      <c r="H30" s="17" t="n">
        <v>930</v>
      </c>
      <c r="I30" s="17" t="n">
        <v>435</v>
      </c>
    </row>
    <row r="31" ht="15" customHeight="1" s="18">
      <c r="A31" s="23" t="inlineStr">
        <is>
          <t>loc_flats_interior</t>
        </is>
      </c>
      <c r="B31" s="23" t="inlineStr">
        <is>
          <t>The interior of the Flats</t>
        </is>
      </c>
      <c r="C31" s="23" t="inlineStr">
        <is>
          <t>rgn_glass_flats</t>
        </is>
      </c>
      <c r="D31" s="23" t="inlineStr">
        <is>
          <t>both</t>
        </is>
      </c>
      <c r="E31" s="23" t="inlineStr">
        <is>
          <t>P</t>
        </is>
      </c>
      <c r="F31" s="23" t="inlineStr">
        <is>
          <t>paralogue</t>
        </is>
      </c>
      <c r="G31" s="23" t="inlineStr">
        <is>
          <t>the Anzu; arrows come apart, and it reads what you cannot</t>
        </is>
      </c>
      <c r="H31" s="17" t="n">
        <v>880</v>
      </c>
      <c r="I31" s="17" t="n">
        <v>505</v>
      </c>
    </row>
    <row r="32" ht="15" customHeight="1" s="18">
      <c r="A32" s="23" t="inlineStr">
        <is>
          <t>loc_lowest_terrace</t>
        </is>
      </c>
      <c r="B32" s="23" t="inlineStr">
        <is>
          <t>The lowest terrace</t>
        </is>
      </c>
      <c r="C32" s="23" t="inlineStr">
        <is>
          <t>rgn_stepped_coast</t>
        </is>
      </c>
      <c r="D32" s="23" t="inlineStr">
        <is>
          <t>both</t>
        </is>
      </c>
      <c r="E32" s="23" t="inlineStr">
        <is>
          <t>P</t>
        </is>
      </c>
      <c r="F32" s="23" t="inlineStr">
        <is>
          <t>paralogue</t>
        </is>
      </c>
      <c r="G32" s="23" t="inlineStr">
        <is>
          <t>the Shadhavar; the song pulls the nearest enemy one tile a turn</t>
        </is>
      </c>
      <c r="H32" s="17" t="n">
        <v>190</v>
      </c>
      <c r="I32" s="17" t="n">
        <v>470</v>
      </c>
    </row>
    <row r="33" ht="15" customHeight="1" s="18">
      <c r="A33" s="23" t="inlineStr">
        <is>
          <t>loc_open_road</t>
        </is>
      </c>
      <c r="B33" s="23" t="inlineStr">
        <is>
          <t>The open road (no fixed site)</t>
        </is>
      </c>
      <c r="C33" s="23" t="inlineStr">
        <is>
          <t>rgn_the_throat</t>
        </is>
      </c>
      <c r="D33" s="23" t="inlineStr">
        <is>
          <t>both</t>
        </is>
      </c>
      <c r="E33" s="23" t="inlineStr">
        <is>
          <t>P</t>
        </is>
      </c>
      <c r="F33" s="23" t="inlineStr">
        <is>
          <t>paralogue</t>
        </is>
      </c>
      <c r="G33" s="23" t="inlineStr">
        <is>
          <t>the Huma; it never lands, so it belongs to a road, not a place</t>
        </is>
      </c>
      <c r="H33" s="17" t="n">
        <v>980</v>
      </c>
      <c r="I33" s="17" t="n">
        <v>495</v>
      </c>
    </row>
    <row r="34" ht="15" customHeight="1" s="18">
      <c r="A34" s="23" t="inlineStr">
        <is>
          <t>loc_hermit_lake</t>
        </is>
      </c>
      <c r="B34" s="23" t="inlineStr">
        <is>
          <t>The saint's lake</t>
        </is>
      </c>
      <c r="C34" s="23" t="inlineStr">
        <is>
          <t>rgn_stepped_coast</t>
        </is>
      </c>
      <c r="D34" s="23" t="inlineStr">
        <is>
          <t>both</t>
        </is>
      </c>
      <c r="E34" s="23" t="inlineStr">
        <is>
          <t>P</t>
        </is>
      </c>
      <c r="F34" s="23" t="inlineStr">
        <is>
          <t>paralogue</t>
        </is>
      </c>
      <c r="G34" s="23" t="inlineStr">
        <is>
          <t>a hermit who refuses to adjudicate; fisher cult around him</t>
        </is>
      </c>
      <c r="H34" s="17" t="n">
        <v>105</v>
      </c>
      <c r="I34" s="17" t="n">
        <v>410</v>
      </c>
    </row>
    <row r="35" ht="15" customHeight="1" s="18">
      <c r="A35" s="23" t="inlineStr">
        <is>
          <t>loc_north_wind</t>
        </is>
      </c>
      <c r="B35" s="23" t="inlineStr">
        <is>
          <t>The north wind</t>
        </is>
      </c>
      <c r="C35" s="23" t="inlineStr">
        <is>
          <t>rgn_drowned_march</t>
        </is>
      </c>
      <c r="D35" s="23" t="inlineStr">
        <is>
          <t>both</t>
        </is>
      </c>
      <c r="E35" s="23" t="inlineStr">
        <is>
          <t>P</t>
        </is>
      </c>
      <c r="F35" s="23" t="inlineStr">
        <is>
          <t>paralogue</t>
        </is>
      </c>
      <c r="G35" s="23" t="inlineStr">
        <is>
          <t>the second hermit; likewise refuses</t>
        </is>
      </c>
      <c r="H35" s="17" t="n">
        <v>300</v>
      </c>
      <c r="I35" s="17" t="n">
        <v>45</v>
      </c>
    </row>
    <row r="36" ht="15" customHeight="1" s="18">
      <c r="A36" s="23" t="inlineStr">
        <is>
          <t>loc_buried_works</t>
        </is>
      </c>
      <c r="B36" s="23" t="inlineStr">
        <is>
          <t>The buried works, under Vashti</t>
        </is>
      </c>
      <c r="C36" s="23" t="inlineStr">
        <is>
          <t>rgn_ashland</t>
        </is>
      </c>
      <c r="D36" s="23" t="inlineStr">
        <is>
          <t>both</t>
        </is>
      </c>
      <c r="E36" s="23" t="inlineStr">
        <is>
          <t>P</t>
        </is>
      </c>
      <c r="F36" s="23" t="inlineStr">
        <is>
          <t>paralogue</t>
        </is>
      </c>
      <c r="G36" s="23" t="inlineStr">
        <is>
          <t>records, complicit clerks, a shrine built over a facility</t>
        </is>
      </c>
      <c r="H36" s="17" t="n">
        <v>960</v>
      </c>
      <c r="I36" s="17" t="n">
        <v>220</v>
      </c>
    </row>
    <row r="38" ht="15" customHeight="1" s="18">
      <c r="A38" s="17" t="inlineStr">
        <is>
          <t>loc_ur_nashet</t>
        </is>
      </c>
      <c r="B38" s="17" t="inlineStr">
        <is>
          <t>Ur-Nashet, the last night (a memory)</t>
        </is>
      </c>
      <c r="D38" s="17" t="inlineStr">
        <is>
          <t>both</t>
        </is>
      </c>
      <c r="E38" s="17" t="inlineStr">
        <is>
          <t>0</t>
        </is>
      </c>
      <c r="F38" s="17" t="inlineStr">
        <is>
          <t>prologue</t>
        </is>
      </c>
      <c r="G38" s="17" t="inlineStr">
        <is>
          <t>a flashback, 800 years early, in a city that no longer exists: not on the world map; the overworld draws it as a memory in the corner</t>
        </is>
      </c>
      <c r="H38" s="17" t="n">
        <v>80</v>
      </c>
      <c r="I38" s="17" t="n">
        <v>60</v>
      </c>
    </row>
    <row r="39">
      <c r="A39" s="25" t="inlineStr">
        <is>
          <t>Comma-separated chapter numbers mean the ground is re-staged. Act 3 fights over Act 1's own fords and roads at army scale, so the player recognises the terrain they escorted a grain wagon across in chapter 3. 'P' = paralogue, unlocked through the supply network rather than the writ, so some stay dark in any given run. 34 locations against 30 chapters plus paralogues -- the world has the capacity, with room to cut. ADDENDUM (2026-10-11): map_x/map_y are overworld screen coordinates (a 1152x540 canvas, drafted: regions follow regions.direction, nothing is to scale); loc_ur_nashet is a flashback, not a place on the map.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K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20" customWidth="1" style="17" min="2" max="2"/>
    <col width="30" customWidth="1" style="17" min="3" max="3"/>
    <col width="16" customWidth="1" style="17" min="4" max="4"/>
    <col width="20" customWidth="1" style="17" min="5" max="5"/>
    <col width="34" customWidth="1" style="17" min="6" max="6"/>
    <col width="46" customWidth="1" style="17" min="7" max="7"/>
    <col width="50" customWidth="1" style="17" min="8" max="8"/>
    <col width="40" customWidth="1" style="17" min="9" max="9"/>
    <col width="44" customWidth="1" style="17" min="10" max="10"/>
    <col width="18" customWidth="1" style="18" min="11" max="11"/>
  </cols>
  <sheetData>
    <row r="1" ht="30" customHeight="1" s="18">
      <c r="A1" s="21" t="inlineStr">
        <is>
          <t>polity_id</t>
        </is>
      </c>
      <c r="B1" s="21" t="inlineStr">
        <is>
          <t>name</t>
        </is>
      </c>
      <c r="C1" s="21" t="inlineStr">
        <is>
          <t>constitution</t>
        </is>
      </c>
      <c r="D1" s="21" t="inlineStr">
        <is>
          <t>seat</t>
        </is>
      </c>
      <c r="E1" s="21" t="inlineStr">
        <is>
          <t>region_id</t>
        </is>
      </c>
      <c r="F1" s="21" t="inlineStr">
        <is>
          <t>holds</t>
        </is>
      </c>
      <c r="G1" s="21" t="inlineStr">
        <is>
          <t>stance_on_the_war</t>
        </is>
      </c>
      <c r="H1" s="21" t="inlineStr">
        <is>
          <t>condition</t>
        </is>
      </c>
      <c r="I1" s="21" t="inlineStr">
        <is>
          <t>naval_posture</t>
        </is>
      </c>
      <c r="J1" s="21" t="inlineStr">
        <is>
          <t>comparative_advantage</t>
        </is>
      </c>
      <c r="K1" s="21" t="inlineStr">
        <is>
          <t>epilogue_adjective</t>
        </is>
      </c>
    </row>
    <row r="2" ht="34.5" customHeight="1" s="18">
      <c r="A2" s="23" t="inlineStr">
        <is>
          <t>pol_diadem</t>
        </is>
      </c>
      <c r="B2" s="23" t="inlineStr">
        <is>
          <t>The Diadem</t>
        </is>
      </c>
      <c r="C2" s="23" t="inlineStr">
        <is>
          <t>crowned succession</t>
        </is>
      </c>
      <c r="D2" s="23" t="inlineStr">
        <is>
          <t>Kaisareia</t>
        </is>
      </c>
      <c r="E2" s="23" t="inlineStr">
        <is>
          <t>rgn_center</t>
        </is>
      </c>
      <c r="F2" s="23" t="inlineStr">
        <is>
          <t>the rift peninsula, the Cindered Plains (occupied)</t>
        </is>
      </c>
      <c r="G2" s="23" t="inlineStr">
        <is>
          <t>war victor; claims the whole inheritance</t>
        </is>
      </c>
      <c r="H2" s="23" t="inlineStr">
        <is>
          <t>small, dry, damaged; feeding it is the entire Act 1 problem</t>
        </is>
      </c>
      <c r="I2" s="23" t="inlineStr">
        <is>
          <t>THE SEA POWER: war galleys out of Thessala, warm water, year-round; a fire weapon nobody else has and nobody else understands</t>
        </is>
      </c>
      <c r="J2" s="23" t="inlineStr">
        <is>
          <t>reach -- it can feed itself from anywhere with a coast</t>
        </is>
      </c>
      <c r="K2" s="17" t="inlineStr">
        <is>
          <t>Diadem</t>
        </is>
      </c>
    </row>
    <row r="3" ht="23.25" customHeight="1" s="18">
      <c r="A3" s="23" t="inlineStr">
        <is>
          <t>pol_assembly</t>
        </is>
      </c>
      <c r="B3" s="23" t="inlineStr">
        <is>
          <t>The Assembly</t>
        </is>
      </c>
      <c r="C3" s="23" t="inlineStr">
        <is>
          <t>elective; the great houses assent</t>
        </is>
      </c>
      <c r="D3" s="23" t="inlineStr">
        <is>
          <t>Vetch</t>
        </is>
      </c>
      <c r="E3" s="23" t="inlineStr">
        <is>
          <t>rgn_drowned_march</t>
        </is>
      </c>
      <c r="F3" s="23" t="inlineStr">
        <is>
          <t>the taiga belt and the forest lakes</t>
        </is>
      </c>
      <c r="G3" s="23" t="inlineStr">
        <is>
          <t>war victor; calls the Diadem a crown worn by whoever survived</t>
        </is>
      </c>
      <c r="H3" s="23" t="inlineStr">
        <is>
          <t>CONSTITUTIONAL COLLAPSE, not just resource-poor: legitimacy runs on assent of the great houses, and enough house heads died in the plague that Vetch may not currently have quorum to seat a government at all -- a rump council improvising rather than a functioning state. A crisis of authority, distinct from the Diadem's crisis of resources; this asymmetry was present in the original FE3H-era design (plague-and-no-spiritual-relief vs. crops-destroyed) and thinned out in the de-pivot -- restored here on purpose, since it primes which of the two Act 3 threats makes sense before the player ever chooses.</t>
        </is>
      </c>
      <c r="I3" s="23" t="inlineStr">
        <is>
          <t>no fleet and no shipwrights; Halder ices shut a third of the year</t>
        </is>
      </c>
      <c r="J3" s="23" t="inlineStr">
        <is>
          <t>interior lines, timber, horses -- and credit: it HIRES fleets it cannot build</t>
        </is>
      </c>
      <c r="K3" s="17" t="inlineStr">
        <is>
          <t>Assembly</t>
        </is>
      </c>
    </row>
    <row r="4" ht="23.25" customHeight="1" s="18">
      <c r="A4" s="23" t="inlineStr">
        <is>
          <t>pol_league</t>
        </is>
      </c>
      <c r="B4" s="23" t="inlineStr">
        <is>
          <t>The Toll League</t>
        </is>
      </c>
      <c r="C4" s="23" t="inlineStr">
        <is>
          <t>no sovereign; three cities, one treaty</t>
        </is>
      </c>
      <c r="D4" s="23" t="inlineStr">
        <is>
          <t>Lade, Sarn, Kesh</t>
        </is>
      </c>
      <c r="E4" s="23" t="inlineStr">
        <is>
          <t>rgn_the_throat</t>
        </is>
      </c>
      <c r="F4" s="23" t="inlineStr">
        <is>
          <t>the caravan road and its oases</t>
        </is>
      </c>
      <c r="G4" s="23" t="inlineStr">
        <is>
          <t>neutral by policy, because both sides must pay to eat</t>
        </is>
      </c>
      <c r="H4" s="23" t="inlineStr">
        <is>
          <t>the Company's power base; grace as circulating credit is THEIR doctrine</t>
        </is>
      </c>
      <c r="I4" s="23" t="inlineStr">
        <is>
          <t>none; the League is a road, not a coast</t>
        </is>
      </c>
      <c r="J4" s="23" t="inlineStr">
        <is>
          <t>the only gap in the mountain wall, and it charges for it</t>
        </is>
      </c>
      <c r="K4" s="17" t="inlineStr">
        <is>
          <t>Toll League</t>
        </is>
      </c>
    </row>
    <row r="5" ht="23.25" customHeight="1" s="18">
      <c r="A5" s="23" t="inlineStr">
        <is>
          <t>pol_rivers</t>
        </is>
      </c>
      <c r="B5" s="23" t="inlineStr">
        <is>
          <t>The River Kingdoms</t>
        </is>
      </c>
      <c r="C5" s="23" t="inlineStr">
        <is>
          <t>twelve old cities, rotating primacy</t>
        </is>
      </c>
      <c r="D5" s="23" t="inlineStr">
        <is>
          <t>Anbar</t>
        </is>
      </c>
      <c r="E5" s="23" t="inlineStr">
        <is>
          <t>rgn_glass_flats</t>
        </is>
      </c>
      <c r="F5" s="23" t="inlineStr">
        <is>
          <t>the eastern river valley and delta</t>
        </is>
      </c>
      <c r="G5" s="23" t="inlineStr">
        <is>
          <t>indifferent; both successor states are provincial to them</t>
        </is>
      </c>
      <c r="H5" s="23" t="inlineStr">
        <is>
          <t>oldest continuous cities on the map; the lending houses; where learning comes from</t>
        </is>
      </c>
      <c r="I5" s="23" t="inlineStr">
        <is>
          <t>river craft only, but they finance everyone else's ships</t>
        </is>
      </c>
      <c r="J5" s="23" t="inlineStr">
        <is>
          <t>capital, and the oldest continuous records on the map</t>
        </is>
      </c>
      <c r="K5" s="17" t="inlineStr">
        <is>
          <t>River Kingdoms</t>
        </is>
      </c>
    </row>
    <row r="6" ht="23.25" customHeight="1" s="18">
      <c r="A6" s="23" t="inlineStr">
        <is>
          <t>pol_clans</t>
        </is>
      </c>
      <c r="B6" s="23" t="inlineStr">
        <is>
          <t>The Herd Clans</t>
        </is>
      </c>
      <c r="C6" s="23" t="inlineStr">
        <is>
          <t>no state; assemblies and horse-camps</t>
        </is>
      </c>
      <c r="D6" s="23" t="inlineStr">
        <is>
          <t>none</t>
        </is>
      </c>
      <c r="E6" s="23" t="inlineStr">
        <is>
          <t>rgn_drowned_march</t>
        </is>
      </c>
      <c r="F6" s="23" t="inlineStr">
        <is>
          <t>the high plateau</t>
        </is>
      </c>
      <c r="G6" s="23" t="inlineStr">
        <is>
          <t>the Assembly's elective constitution came from here, which the Diadem calls proof of barbarism</t>
        </is>
      </c>
      <c r="H6" s="23" t="inlineStr">
        <is>
          <t>cannot be conquered because there is nothing to seize</t>
        </is>
      </c>
      <c r="I6" s="23" t="inlineStr">
        <is>
          <t>none</t>
        </is>
      </c>
      <c r="J6" s="23" t="inlineStr">
        <is>
          <t>cannot be conquered because there is nothing to seize</t>
        </is>
      </c>
      <c r="K6" s="17" t="inlineStr">
        <is>
          <t>Herd Clan</t>
        </is>
      </c>
    </row>
    <row r="7" ht="15" customHeight="1" s="18">
      <c r="A7" s="23" t="inlineStr">
        <is>
          <t>pol_ports</t>
        </is>
      </c>
      <c r="B7" s="23" t="inlineStr">
        <is>
          <t>The Green Ports</t>
        </is>
      </c>
      <c r="C7" s="23" t="inlineStr">
        <is>
          <t>port councils, each independent</t>
        </is>
      </c>
      <c r="D7" s="23" t="inlineStr">
        <is>
          <t>Sindar</t>
        </is>
      </c>
      <c r="E7" s="23" t="inlineStr">
        <is>
          <t>rgn_glass_flats</t>
        </is>
      </c>
      <c r="F7" s="23" t="inlineStr">
        <is>
          <t>the monsoon coast</t>
        </is>
      </c>
      <c r="G7" s="23" t="inlineStr">
        <is>
          <t>sells grain to anyone; the Diadem's fleet goes here</t>
        </is>
      </c>
      <c r="H7" s="23" t="inlineStr">
        <is>
          <t>wet, rich, and entirely uninterested in the war</t>
        </is>
      </c>
      <c r="I7" s="23" t="inlineStr">
        <is>
          <t>the best merchant hulls afloat, and no navy at all</t>
        </is>
      </c>
      <c r="J7" s="23" t="inlineStr">
        <is>
          <t>grain, and a policy of selling it to both sides</t>
        </is>
      </c>
      <c r="K7" s="17" t="inlineStr">
        <is>
          <t>Green Ports</t>
        </is>
      </c>
    </row>
    <row r="8" ht="23.25" customHeight="1" s="18">
      <c r="A8" s="23" t="inlineStr">
        <is>
          <t>pol_isles</t>
        </is>
      </c>
      <c r="B8" s="23" t="inlineStr">
        <is>
          <t>The Isles</t>
        </is>
      </c>
      <c r="C8" s="23" t="inlineStr">
        <is>
          <t>fisher communes; no central authority</t>
        </is>
      </c>
      <c r="D8" s="23" t="inlineStr">
        <is>
          <t>Pelagos</t>
        </is>
      </c>
      <c r="E8" s="23" t="inlineStr">
        <is>
          <t>rgn_stepped_coast</t>
        </is>
      </c>
      <c r="F8" s="23" t="inlineStr">
        <is>
          <t>the scattered isles</t>
        </is>
      </c>
      <c r="G8" s="23" t="inlineStr">
        <is>
          <t>outside every claim</t>
        </is>
      </c>
      <c r="H8" s="23" t="inlineStr">
        <is>
          <t>a hermit saint lives here and refuses to adjudicate anything</t>
        </is>
      </c>
      <c r="I8" s="23" t="inlineStr">
        <is>
          <t>fishing boats that know water no chart shows</t>
        </is>
      </c>
      <c r="J8" s="23" t="inlineStr">
        <is>
          <t>pilotage -- the Isles' crews are why anyone crosses safely</t>
        </is>
      </c>
      <c r="K8" s="17" t="inlineStr">
        <is>
          <t>Isles</t>
        </is>
      </c>
    </row>
    <row r="10" ht="15" customHeight="1" s="18">
      <c r="A10" s="25" t="inlineStr">
        <is>
          <t>Seven polities, three constitutions (crowned / elective / none). The war was between two of them; the other five have opinions about it and no obligation to act on them. A map with only two sovereigns reads as a duel, not a world.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2" customWidth="1" style="17" min="2" max="2"/>
    <col width="14" customWidth="1" style="17" min="3" max="3"/>
    <col width="12" customWidth="1" style="17" min="4" max="4"/>
    <col width="20" customWidth="1" style="17" min="5" max="5"/>
    <col width="66" customWidth="1" style="17" min="6" max="6"/>
  </cols>
  <sheetData>
    <row r="1" ht="30" customHeight="1" s="18">
      <c r="A1" s="21" t="inlineStr">
        <is>
          <t>settlement_id</t>
        </is>
      </c>
      <c r="B1" s="21" t="inlineStr">
        <is>
          <t>name</t>
        </is>
      </c>
      <c r="C1" s="21" t="inlineStr">
        <is>
          <t>polity_id</t>
        </is>
      </c>
      <c r="D1" s="21" t="inlineStr">
        <is>
          <t>status</t>
        </is>
      </c>
      <c r="E1" s="21" t="inlineStr">
        <is>
          <t>region_id</t>
        </is>
      </c>
      <c r="F1" s="21" t="inlineStr">
        <is>
          <t>notes</t>
        </is>
      </c>
    </row>
    <row r="2" ht="15" customHeight="1" s="18">
      <c r="A2" s="23" t="inlineStr">
        <is>
          <t>set_kaisareia</t>
        </is>
      </c>
      <c r="B2" s="23" t="inlineStr">
        <is>
          <t>Kaisareia</t>
        </is>
      </c>
      <c r="C2" s="23" t="inlineStr">
        <is>
          <t>pol_diadem</t>
        </is>
      </c>
      <c r="D2" s="23" t="inlineStr">
        <is>
          <t>living</t>
        </is>
      </c>
      <c r="E2" s="23" t="inlineStr">
        <is>
          <t>rgn_center</t>
        </is>
      </c>
      <c r="F2" s="23" t="inlineStr">
        <is>
          <t>twin city on both banks at the rift narrows; capital because the gap is defensible</t>
        </is>
      </c>
    </row>
    <row r="3" ht="15" customHeight="1" s="18">
      <c r="A3" s="23" t="inlineStr">
        <is>
          <t>set_anthe</t>
        </is>
      </c>
      <c r="B3" s="23" t="inlineStr">
        <is>
          <t>Anthe</t>
        </is>
      </c>
      <c r="C3" s="23" t="inlineStr">
        <is>
          <t>pol_diadem</t>
        </is>
      </c>
      <c r="D3" s="23" t="inlineStr">
        <is>
          <t>shrunken</t>
        </is>
      </c>
      <c r="E3" s="23" t="inlineStr">
        <is>
          <t>rgn_stepped_coast</t>
        </is>
      </c>
      <c r="F3" s="23" t="inlineStr">
        <is>
          <t>port on the terraces; its harbour is two levels below the town and dry</t>
        </is>
      </c>
    </row>
    <row r="4" ht="15" customHeight="1" s="18">
      <c r="A4" s="23" t="inlineStr">
        <is>
          <t>set_thessala</t>
        </is>
      </c>
      <c r="B4" s="23" t="inlineStr">
        <is>
          <t>Thessala</t>
        </is>
      </c>
      <c r="C4" s="23" t="inlineStr">
        <is>
          <t>pol_diadem</t>
        </is>
      </c>
      <c r="D4" s="23" t="inlineStr">
        <is>
          <t>living</t>
        </is>
      </c>
      <c r="E4" s="23" t="inlineStr">
        <is>
          <t>rgn_center</t>
        </is>
      </c>
      <c r="F4" s="23" t="inlineStr">
        <is>
          <t>south coast; where the grain fleet sails from</t>
        </is>
      </c>
    </row>
    <row r="5" ht="23.25" customHeight="1" s="18">
      <c r="A5" s="23" t="inlineStr">
        <is>
          <t>set_nikaia</t>
        </is>
      </c>
      <c r="B5" s="23" t="inlineStr">
        <is>
          <t>Nikaia</t>
        </is>
      </c>
      <c r="C5" s="23" t="inlineStr">
        <is>
          <t>pol_diadem</t>
        </is>
      </c>
      <c r="D5" s="23" t="inlineStr">
        <is>
          <t>shrunken</t>
        </is>
      </c>
      <c r="E5" s="23" t="inlineStr">
        <is>
          <t>rgn_center</t>
        </is>
      </c>
      <c r="F5" s="23" t="inlineStr">
        <is>
          <t>six hundred people inside walls built for twenty thousand; fields grow between the quarters</t>
        </is>
      </c>
    </row>
    <row r="6" ht="15" customHeight="1" s="18">
      <c r="A6" s="23" t="inlineStr">
        <is>
          <t>set_vashti</t>
        </is>
      </c>
      <c r="B6" s="23" t="inlineStr">
        <is>
          <t>Vashti</t>
        </is>
      </c>
      <c r="C6" s="23" t="inlineStr">
        <is>
          <t>pol_diadem</t>
        </is>
      </c>
      <c r="D6" s="23" t="inlineStr">
        <is>
          <t>living</t>
        </is>
      </c>
      <c r="E6" s="23" t="inlineStr">
        <is>
          <t>rgn_ashland</t>
        </is>
      </c>
      <c r="F6" s="23" t="inlineStr">
        <is>
          <t>occupied seat in the volcanic field; the Unstained will not take sacraments here</t>
        </is>
      </c>
    </row>
    <row r="7" ht="15" customHeight="1" s="18">
      <c r="A7" s="23" t="inlineStr">
        <is>
          <t>set_sardeis</t>
        </is>
      </c>
      <c r="B7" s="23" t="inlineStr">
        <is>
          <t>Sardeis</t>
        </is>
      </c>
      <c r="C7" s="23" t="inlineStr">
        <is>
          <t>pol_diadem</t>
        </is>
      </c>
      <c r="D7" s="23" t="inlineStr">
        <is>
          <t>ruin</t>
        </is>
      </c>
      <c r="E7" s="23" t="inlineStr">
        <is>
          <t>rgn_ashland</t>
        </is>
      </c>
      <c r="F7" s="23" t="inlineStr">
        <is>
          <t>burned in the war; the Diadem has not rebuilt it and does not intend to</t>
        </is>
      </c>
    </row>
    <row r="8" ht="15" customHeight="1" s="18">
      <c r="A8" s="23" t="inlineStr">
        <is>
          <t>set_vetch</t>
        </is>
      </c>
      <c r="B8" s="23" t="inlineStr">
        <is>
          <t>Vetch</t>
        </is>
      </c>
      <c r="C8" s="23" t="inlineStr">
        <is>
          <t>pol_assembly</t>
        </is>
      </c>
      <c r="D8" s="23" t="inlineStr">
        <is>
          <t>living</t>
        </is>
      </c>
      <c r="E8" s="23" t="inlineStr">
        <is>
          <t>rgn_drowned_march</t>
        </is>
      </c>
      <c r="F8" s="23" t="inlineStr">
        <is>
          <t>the Assembly's seat; timber walls on stone foundations that are much older Act 1: no confirmed quorum among the great houses -- the council currently governing is a rump, not a settled government.</t>
        </is>
      </c>
    </row>
    <row r="9" ht="15" customHeight="1" s="18">
      <c r="A9" s="23" t="inlineStr">
        <is>
          <t>set_halder</t>
        </is>
      </c>
      <c r="B9" s="23" t="inlineStr">
        <is>
          <t>Halder</t>
        </is>
      </c>
      <c r="C9" s="23" t="inlineStr">
        <is>
          <t>pol_assembly</t>
        </is>
      </c>
      <c r="D9" s="23" t="inlineStr">
        <is>
          <t>living</t>
        </is>
      </c>
      <c r="E9" s="23" t="inlineStr">
        <is>
          <t>rgn_drowned_march</t>
        </is>
      </c>
      <c r="F9" s="23" t="inlineStr">
        <is>
          <t>north coast; the sea ices in and the port closes for a third of the year</t>
        </is>
      </c>
    </row>
    <row r="10" ht="23.25" customHeight="1" s="18">
      <c r="A10" s="23" t="inlineStr">
        <is>
          <t>set_marrow</t>
        </is>
      </c>
      <c r="B10" s="23" t="inlineStr">
        <is>
          <t>Marrow</t>
        </is>
      </c>
      <c r="C10" s="23" t="inlineStr">
        <is>
          <t>pol_assembly</t>
        </is>
      </c>
      <c r="D10" s="23" t="inlineStr">
        <is>
          <t>shrunken</t>
        </is>
      </c>
      <c r="E10" s="23" t="inlineStr">
        <is>
          <t>rgn_drowned_march</t>
        </is>
      </c>
      <c r="F10" s="23" t="inlineStr">
        <is>
          <t>the apothecary town; three streets of different widths, and the plague took half of it</t>
        </is>
      </c>
    </row>
    <row r="11" ht="15" customHeight="1" s="18">
      <c r="A11" s="23" t="inlineStr">
        <is>
          <t>set_ostrova</t>
        </is>
      </c>
      <c r="B11" s="23" t="inlineStr">
        <is>
          <t>Ostrova</t>
        </is>
      </c>
      <c r="C11" s="23" t="inlineStr">
        <is>
          <t>pol_assembly</t>
        </is>
      </c>
      <c r="D11" s="23" t="inlineStr">
        <is>
          <t>living</t>
        </is>
      </c>
      <c r="E11" s="23" t="inlineStr">
        <is>
          <t>rgn_drowned_march</t>
        </is>
      </c>
      <c r="F11" s="23" t="inlineStr">
        <is>
          <t>on the plateau edge; closer to the horse-camps than to Vetch, and it shows</t>
        </is>
      </c>
    </row>
    <row r="12" ht="15" customHeight="1" s="18">
      <c r="A12" s="23" t="inlineStr">
        <is>
          <t>set_kolm</t>
        </is>
      </c>
      <c r="B12" s="23" t="inlineStr">
        <is>
          <t>Kolm</t>
        </is>
      </c>
      <c r="C12" s="23" t="inlineStr">
        <is>
          <t>pol_assembly</t>
        </is>
      </c>
      <c r="D12" s="23" t="inlineStr">
        <is>
          <t>ruin</t>
        </is>
      </c>
      <c r="E12" s="23" t="inlineStr">
        <is>
          <t>rgn_drowned_march</t>
        </is>
      </c>
      <c r="F12" s="23" t="inlineStr">
        <is>
          <t>abandoned to the plague, not to war; nobody has gone back in</t>
        </is>
      </c>
    </row>
    <row r="13" ht="15" customHeight="1" s="18">
      <c r="A13" s="23" t="inlineStr">
        <is>
          <t>set_lade</t>
        </is>
      </c>
      <c r="B13" s="23" t="inlineStr">
        <is>
          <t>Lade</t>
        </is>
      </c>
      <c r="C13" s="23" t="inlineStr">
        <is>
          <t>pol_league</t>
        </is>
      </c>
      <c r="D13" s="23" t="inlineStr">
        <is>
          <t>living</t>
        </is>
      </c>
      <c r="E13" s="23" t="inlineStr">
        <is>
          <t>rgn_the_throat</t>
        </is>
      </c>
      <c r="F13" s="23" t="inlineStr">
        <is>
          <t>first oasis past the wall; the caravanserai where prices rise when a fight is visible</t>
        </is>
      </c>
    </row>
    <row r="14" ht="15" customHeight="1" s="18">
      <c r="A14" s="23" t="inlineStr">
        <is>
          <t>set_sarn</t>
        </is>
      </c>
      <c r="B14" s="23" t="inlineStr">
        <is>
          <t>Sarn</t>
        </is>
      </c>
      <c r="C14" s="23" t="inlineStr">
        <is>
          <t>pol_league</t>
        </is>
      </c>
      <c r="D14" s="23" t="inlineStr">
        <is>
          <t>living</t>
        </is>
      </c>
      <c r="E14" s="23" t="inlineStr">
        <is>
          <t>rgn_the_throat</t>
        </is>
      </c>
      <c r="F14" s="23" t="inlineStr">
        <is>
          <t>middle oasis; the League's treaty was signed here and is re-read aloud yearly</t>
        </is>
      </c>
    </row>
    <row r="15" ht="15" customHeight="1" s="18">
      <c r="A15" s="23" t="inlineStr">
        <is>
          <t>set_kesh</t>
        </is>
      </c>
      <c r="B15" s="23" t="inlineStr">
        <is>
          <t>Kesh</t>
        </is>
      </c>
      <c r="C15" s="23" t="inlineStr">
        <is>
          <t>pol_league</t>
        </is>
      </c>
      <c r="D15" s="23" t="inlineStr">
        <is>
          <t>living</t>
        </is>
      </c>
      <c r="E15" s="23" t="inlineStr">
        <is>
          <t>rgn_the_throat</t>
        </is>
      </c>
      <c r="F15" s="23" t="inlineStr">
        <is>
          <t>last oasis before the river valley; where the road's tolls are actually collected</t>
        </is>
      </c>
    </row>
    <row r="16" ht="15" customHeight="1" s="18">
      <c r="A16" s="23" t="inlineStr">
        <is>
          <t>set_anbar</t>
        </is>
      </c>
      <c r="B16" s="23" t="inlineStr">
        <is>
          <t>Anbar</t>
        </is>
      </c>
      <c r="C16" s="23" t="inlineStr">
        <is>
          <t>pol_rivers</t>
        </is>
      </c>
      <c r="D16" s="23" t="inlineStr">
        <is>
          <t>living</t>
        </is>
      </c>
      <c r="E16" s="23" t="inlineStr">
        <is>
          <t>rgn_glass_flats</t>
        </is>
      </c>
      <c r="F16" s="23" t="inlineStr">
        <is>
          <t>the lending houses; grain bought on credit against a harvest nobody has seen</t>
        </is>
      </c>
    </row>
    <row r="17" ht="15" customHeight="1" s="18">
      <c r="A17" s="23" t="inlineStr">
        <is>
          <t>set_nirash</t>
        </is>
      </c>
      <c r="B17" s="23" t="inlineStr">
        <is>
          <t>Nirash</t>
        </is>
      </c>
      <c r="C17" s="23" t="inlineStr">
        <is>
          <t>pol_rivers</t>
        </is>
      </c>
      <c r="D17" s="23" t="inlineStr">
        <is>
          <t>living</t>
        </is>
      </c>
      <c r="E17" s="23" t="inlineStr">
        <is>
          <t>rgn_glass_flats</t>
        </is>
      </c>
      <c r="F17" s="23" t="inlineStr">
        <is>
          <t>delta city; older than the Diadem's oldest record of itself</t>
        </is>
      </c>
    </row>
    <row r="18" ht="23.25" customHeight="1" s="18">
      <c r="A18" s="23" t="inlineStr">
        <is>
          <t>set_eresh</t>
        </is>
      </c>
      <c r="B18" s="23" t="inlineStr">
        <is>
          <t>Eresh</t>
        </is>
      </c>
      <c r="C18" s="23" t="inlineStr">
        <is>
          <t>pol_rivers</t>
        </is>
      </c>
      <c r="D18" s="23" t="inlineStr">
        <is>
          <t>tell</t>
        </is>
      </c>
      <c r="E18" s="23" t="inlineStr">
        <is>
          <t>rgn_glass_flats</t>
        </is>
      </c>
      <c r="F18" s="23" t="inlineStr">
        <is>
          <t>a mound with a modern village on top; the city underneath is still being dug out of it</t>
        </is>
      </c>
    </row>
    <row r="19" ht="15" customHeight="1" s="18">
      <c r="A19" s="23" t="inlineStr">
        <is>
          <t>set_sindar</t>
        </is>
      </c>
      <c r="B19" s="23" t="inlineStr">
        <is>
          <t>Sindar</t>
        </is>
      </c>
      <c r="C19" s="23" t="inlineStr">
        <is>
          <t>pol_ports</t>
        </is>
      </c>
      <c r="D19" s="23" t="inlineStr">
        <is>
          <t>living</t>
        </is>
      </c>
      <c r="E19" s="23" t="inlineStr">
        <is>
          <t>rgn_glass_flats</t>
        </is>
      </c>
      <c r="F19" s="23" t="inlineStr">
        <is>
          <t>monsoon port; sells grain to both sides and does not pretend otherwise</t>
        </is>
      </c>
    </row>
    <row r="20" ht="15" customHeight="1" s="18">
      <c r="A20" s="23" t="inlineStr">
        <is>
          <t>set_pelagos</t>
        </is>
      </c>
      <c r="B20" s="23" t="inlineStr">
        <is>
          <t>Pelagos</t>
        </is>
      </c>
      <c r="C20" s="23" t="inlineStr">
        <is>
          <t>pol_isles</t>
        </is>
      </c>
      <c r="D20" s="23" t="inlineStr">
        <is>
          <t>living</t>
        </is>
      </c>
      <c r="E20" s="23" t="inlineStr">
        <is>
          <t>rgn_stepped_coast</t>
        </is>
      </c>
      <c r="F20" s="23" t="inlineStr">
        <is>
          <t>fisher commune; the saint lives on the next island and they feed him</t>
        </is>
      </c>
    </row>
    <row r="21" ht="15" customHeight="1" s="18">
      <c r="A21" s="23" t="inlineStr">
        <is>
          <t>set_stranded</t>
        </is>
      </c>
      <c r="B21" s="23" t="inlineStr">
        <is>
          <t>the stranded harbour</t>
        </is>
      </c>
      <c r="C21" s="23" t="inlineStr">
        <is>
          <t>pol_diadem</t>
        </is>
      </c>
      <c r="D21" s="23" t="inlineStr">
        <is>
          <t>ruin</t>
        </is>
      </c>
      <c r="E21" s="23" t="inlineStr">
        <is>
          <t>rgn_stepped_coast</t>
        </is>
      </c>
      <c r="F21" s="23" t="inlineStr">
        <is>
          <t>on the middle terrace, high above the waterline; the renunciants live in it</t>
        </is>
      </c>
    </row>
    <row r="23" ht="15" customHeight="1" s="18">
      <c r="A23" s="25" t="inlineStr">
        <is>
          <t>STATUS is the density argument. living / shrunken (walls too big for the people in them) / ruin (emptied by war or plague, recently) / tell (a mound with a village on top and a city underneath). The world is not pre-urban, it is post-urban. 20 named settlements against 7 polities.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4" customWidth="1" style="17" min="2" max="2"/>
    <col width="20" customWidth="1" style="17" min="3" max="3"/>
    <col width="26" customWidth="1" style="17" min="4" max="4"/>
    <col width="46" customWidth="1" style="17" min="5" max="5"/>
    <col width="48" customWidth="1" style="17" min="6" max="6"/>
    <col width="52" customWidth="1" style="17" min="7" max="7"/>
  </cols>
  <sheetData>
    <row r="1" ht="30" customHeight="1" s="18">
      <c r="A1" s="21" t="inlineStr">
        <is>
          <t>era_id</t>
        </is>
      </c>
      <c r="B1" s="21" t="inlineStr">
        <is>
          <t>name</t>
        </is>
      </c>
      <c r="C1" s="21" t="inlineStr">
        <is>
          <t>when</t>
        </is>
      </c>
      <c r="D1" s="21" t="inlineStr">
        <is>
          <t>shape</t>
        </is>
      </c>
      <c r="E1" s="21" t="inlineStr">
        <is>
          <t>what_happened</t>
        </is>
      </c>
      <c r="F1" s="21" t="inlineStr">
        <is>
          <t>what_it_means_now</t>
        </is>
      </c>
      <c r="G1" s="21" t="inlineStr">
        <is>
          <t>how_the_game_uses_it</t>
        </is>
      </c>
    </row>
    <row r="2" ht="23.25" customHeight="1" s="18">
      <c r="A2" s="23" t="inlineStr">
        <is>
          <t>era_cities</t>
        </is>
      </c>
      <c r="B2" s="23" t="inlineStr">
        <is>
          <t>The Hundred Cities</t>
        </is>
      </c>
      <c r="C2" s="23" t="inlineStr">
        <is>
          <t>~800 years before</t>
        </is>
      </c>
      <c r="D2" s="23" t="inlineStr">
        <is>
          <t>Akkadian register</t>
        </is>
      </c>
      <c r="E2" s="23" t="inlineStr">
        <is>
          <t>every valley held a city-state with its own patron, temple and king</t>
        </is>
      </c>
      <c r="F2" s="23" t="inlineStr">
        <is>
          <t>the patrons were NAMED PARTIES WITH TERMS, not metaphors</t>
        </is>
      </c>
      <c r="G2" s="23" t="inlineStr">
        <is>
          <t>flashback chapters F1-F3: different roster, chariots, no requisition, no permadeath</t>
        </is>
      </c>
    </row>
    <row r="3" ht="23.25" customHeight="1" s="18">
      <c r="A3" s="23" t="inlineStr">
        <is>
          <t>era_binding</t>
        </is>
      </c>
      <c r="B3" s="23" t="inlineStr">
        <is>
          <t>The Binding of Sargath</t>
        </is>
      </c>
      <c r="C3" s="23" t="inlineStr">
        <is>
          <t>~780 years before</t>
        </is>
      </c>
      <c r="D3" s="23" t="inlineStr">
        <is>
          <t>Sargath of Ur-Nashet binds the rest</t>
        </is>
      </c>
      <c r="E3" s="23" t="inlineStr">
        <is>
          <t>the First Register is written: which patron owes what to whom</t>
        </is>
      </c>
      <c r="F3" s="23" t="inlineStr">
        <is>
          <t>every pact in the present is a clause in a treaty nobody alive negotiated</t>
        </is>
      </c>
      <c r="G3" s="23" t="inlineStr">
        <is>
          <t>the founding crime; the demons the nobles borrow from are deposed city-patrons</t>
        </is>
      </c>
    </row>
    <row r="4" ht="23.25" customHeight="1" s="18">
      <c r="A4" s="23" t="inlineStr">
        <is>
          <t>era_empire</t>
        </is>
      </c>
      <c r="B4" s="23" t="inlineStr">
        <is>
          <t>The Long Reign</t>
        </is>
      </c>
      <c r="C4" s="23" t="inlineStr">
        <is>
          <t>780-90 years before</t>
        </is>
      </c>
      <c r="D4" s="23" t="inlineStr">
        <is>
          <t>one realm, one church</t>
        </is>
      </c>
      <c r="E4" s="23" t="inlineStr">
        <is>
          <t>the church that held it together was not telling the truth</t>
        </is>
      </c>
      <c r="F4" s="23" t="inlineStr">
        <is>
          <t>learning moved east and came back translated; the capital lived on inheritance</t>
        </is>
      </c>
      <c r="G4" s="23" t="inlineStr">
        <is>
          <t>the age the Diadem still thinks it is living in</t>
        </is>
      </c>
    </row>
    <row r="5" ht="23.25" customHeight="1" s="18">
      <c r="A5" s="23" t="inlineStr">
        <is>
          <t>era_venerated</t>
        </is>
      </c>
      <c r="B5" s="23" t="inlineStr">
        <is>
          <t>The Venerated</t>
        </is>
      </c>
      <c r="C5" s="23" t="inlineStr">
        <is>
          <t>~90-40 years before</t>
        </is>
      </c>
      <c r="D5" s="23" t="inlineStr">
        <is>
          <t>a person, and then an absence</t>
        </is>
      </c>
      <c r="E5" s="23" t="inlineStr">
        <is>
          <t>what they did is disputed; whether they died is disputed; the tomb is disputed</t>
        </is>
      </c>
      <c r="F5" s="23" t="inlineStr">
        <is>
          <t>the sects are five answers to one question the game never settles</t>
        </is>
      </c>
      <c r="G5" s="23" t="inlineStr">
        <is>
          <t>no depiction survives that all parties accept as authentic</t>
        </is>
      </c>
    </row>
    <row r="6" ht="23.25" customHeight="1" s="18">
      <c r="A6" s="23" t="inlineStr">
        <is>
          <t>era_war</t>
        </is>
      </c>
      <c r="B6" s="23" t="inlineStr">
        <is>
          <t>The War of the Two Claims</t>
        </is>
      </c>
      <c r="C6" s="23" t="inlineStr">
        <is>
          <t>40-1 years before</t>
        </is>
      </c>
      <c r="D6" s="23" t="inlineStr">
        <is>
          <t>the realm splits</t>
        </is>
      </c>
      <c r="E6" s="23" t="inlineStr">
        <is>
          <t>crowned succession against elective succession; both call themselves the inheritance</t>
        </is>
      </c>
      <c r="F6" s="23" t="inlineStr">
        <is>
          <t>ended in exhaustion, not victory; the claim did not end</t>
        </is>
      </c>
      <c r="G6" s="23" t="inlineStr">
        <is>
          <t>Act 1 opens in the year after</t>
        </is>
      </c>
    </row>
    <row r="8" ht="15" customHeight="1" s="18">
      <c r="A8" s="25" t="inlineStr">
        <is>
          <t>LORE IS DELIVERED BY PLAYING. Three flashback chapters at the act breaks put the player in the Hundred Cities: a different roster, chariots, city patrons who answer directly, and rules the modern game does not use. A flashback may legally break the map laws, because it is a memory and it is teaching, not testing.</t>
        </is>
      </c>
    </row>
    <row r="9" ht="34.5" customHeight="1" s="18">
      <c r="A9" s="23" t="inlineStr">
        <is>
          <t>era_sargath_note</t>
        </is>
      </c>
      <c r="B9" s="23" t="inlineStr">
        <is>
          <t>Sargath, the binder</t>
        </is>
      </c>
      <c r="C9" s="23" t="inlineStr">
        <is>
          <t>the figure, not the age</t>
        </is>
      </c>
      <c r="D9" s="23" t="inlineStr">
        <is>
          <t>a city-king who made the first empire and the first register in the same act</t>
        </is>
      </c>
      <c r="E9" s="23" t="inlineStr">
        <is>
          <t>he did not kill the patrons; he WROTE THEM DOWN, which turned gods into signatories</t>
        </is>
      </c>
      <c r="F9" s="23" t="inlineStr">
        <is>
          <t>the register is his instrument and it outlived his empire by seven centuries</t>
        </is>
      </c>
      <c r="G9" s="23" t="inlineStr">
        <is>
          <t>named for a real child; the sound is right and the etymology is nobody's</t>
        </is>
      </c>
    </row>
    <row r="12" ht="15" customHeight="1" s="18">
      <c r="A12" s="25" t="inlineStr">
        <is>
          <t>THE PARALLEL, stated once so it is never over-explained in dialogue: the ranked spirits of the register -- kings, dukes, presidents, counts, each commanding a stated number of legions, each with a named competency -- are the deposed patrons of the Hundred Cities. Sargath did not destroy them. He listed them, with ranks and obligations, and a listed god is a party to a contract. The copying errors came later, and one name was lost in transmission.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8" customWidth="1" style="17" min="2" max="2"/>
    <col width="12" customWidth="1" style="17" min="3" max="3"/>
    <col width="30" customWidth="1" style="17" min="4" max="4"/>
    <col width="14" customWidth="1" style="17" min="5" max="5"/>
    <col width="46" customWidth="1" style="17" min="6" max="8"/>
    <col width="50" customWidth="1" style="17" min="9" max="9"/>
  </cols>
  <sheetData>
    <row r="1" ht="30" customHeight="1" s="18">
      <c r="A1" s="21" t="inlineStr">
        <is>
          <t>flashback_id</t>
        </is>
      </c>
      <c r="B1" s="21" t="inlineStr">
        <is>
          <t>slot</t>
        </is>
      </c>
      <c r="C1" s="21" t="inlineStr">
        <is>
          <t>position</t>
        </is>
      </c>
      <c r="D1" s="21" t="inlineStr">
        <is>
          <t>title</t>
        </is>
      </c>
      <c r="E1" s="21" t="inlineStr">
        <is>
          <t>era_id</t>
        </is>
      </c>
      <c r="F1" s="21" t="inlineStr">
        <is>
          <t>premise</t>
        </is>
      </c>
      <c r="G1" s="21" t="inlineStr">
        <is>
          <t>rules_that_differ</t>
        </is>
      </c>
      <c r="H1" s="21" t="inlineStr">
        <is>
          <t>what_it_teaches</t>
        </is>
      </c>
      <c r="I1" s="21" t="inlineStr">
        <is>
          <t>the_turn</t>
        </is>
      </c>
    </row>
    <row r="2" ht="23.25" customHeight="1" s="18">
      <c r="A2" s="23" t="inlineStr">
        <is>
          <t>fb_f0</t>
        </is>
      </c>
      <c r="B2" s="23" t="inlineStr">
        <is>
          <t>F0</t>
        </is>
      </c>
      <c r="C2" s="23" t="inlineStr">
        <is>
          <t>PROLOGUE</t>
        </is>
      </c>
      <c r="D2" s="23" t="inlineStr">
        <is>
          <t>Ur-Nashet, the night of the binding</t>
        </is>
      </c>
      <c r="E2" s="23" t="inlineStr">
        <is>
          <t>era_cities</t>
        </is>
      </c>
      <c r="F2" s="23" t="inlineStr">
        <is>
          <t>the player's first battle is 800 years early, in a city that no longer exists</t>
        </is>
      </c>
      <c r="G2" s="23" t="inlineStr">
        <is>
          <t>chariots, no requisition, no permadeath, no forge; one weapon each, no repair</t>
        </is>
      </c>
      <c r="H2" s="23" t="inlineStr">
        <is>
          <t>teaches: movement, terrain cost, the weapon triangle -- nothing else</t>
        </is>
      </c>
      <c r="I2" s="23" t="inlineStr">
        <is>
          <t>ends with the city taken and its patron written into a book; the player did that. THE NAME IS NEVER SHOWN: the scribe's hand covers the page, the angle is wrong, the rain is on it. The player performs the founding crime without learning what was written.</t>
        </is>
      </c>
    </row>
    <row r="3" ht="23.25" customHeight="1" s="18">
      <c r="A3" s="23" t="inlineStr">
        <is>
          <t>fb_f1</t>
        </is>
      </c>
      <c r="B3" s="23" t="inlineStr">
        <is>
          <t>F1</t>
        </is>
      </c>
      <c r="C3" s="23" t="inlineStr">
        <is>
          <t>act 1 -&gt; 2</t>
        </is>
      </c>
      <c r="D3" s="23" t="inlineStr">
        <is>
          <t>The scribes' quarter</t>
        </is>
      </c>
      <c r="E3" s="23" t="inlineStr">
        <is>
          <t>era_binding</t>
        </is>
      </c>
      <c r="F3" s="23" t="inlineStr">
        <is>
          <t>the First Register is copied for the first time, under deadline</t>
        </is>
      </c>
      <c r="G3" s="23" t="inlineStr">
        <is>
          <t>protect the copyists; a page is lost and the game does not tell you which</t>
        </is>
      </c>
      <c r="H3" s="23" t="inlineStr">
        <is>
          <t>teaches: the epithet ledger, by showing you a clerk recording deeds</t>
        </is>
      </c>
      <c r="I3" s="23" t="inlineStr">
        <is>
          <t>the missing name enters the world here, as an accident nobody notices</t>
        </is>
      </c>
    </row>
    <row r="4" ht="23.25" customHeight="1" s="18">
      <c r="A4" s="23" t="inlineStr">
        <is>
          <t>fb_f2</t>
        </is>
      </c>
      <c r="B4" s="23" t="inlineStr">
        <is>
          <t>F2</t>
        </is>
      </c>
      <c r="C4" s="23" t="inlineStr">
        <is>
          <t>act 2 -&gt; 3</t>
        </is>
      </c>
      <c r="D4" s="23" t="inlineStr">
        <is>
          <t>The last court of the Long Reign</t>
        </is>
      </c>
      <c r="E4" s="23" t="inlineStr">
        <is>
          <t>era_empire</t>
        </is>
      </c>
      <c r="F4" s="23" t="inlineStr">
        <is>
          <t>the church that held the realm together, on the day it stopped being believed</t>
        </is>
      </c>
      <c r="G4" s="23" t="inlineStr">
        <is>
          <t>a defence with no reinforcements and no supply; the state simply runs out</t>
        </is>
      </c>
      <c r="H4" s="23" t="inlineStr">
        <is>
          <t>teaches: what the pact layer costs, by letting you spend it freely and lose anyway</t>
        </is>
      </c>
      <c r="I4" s="23" t="inlineStr">
        <is>
          <t>the only flashback the player can lose without a restart; losing is the ending</t>
        </is>
      </c>
    </row>
    <row r="6" ht="15" customHeight="1" s="18">
      <c r="A6" s="25" t="inlineStr">
        <is>
          <t>A flashback may legally break the map laws: it is a memory and it is teaching, not testing. F0 as prologue means the player's first act in the game is the founding crime, performed before they know it is one. Different roster each time; nobody in a flashback is recruitable.</t>
        </is>
      </c>
    </row>
    <row r="9" ht="15" customHeight="1" s="18">
      <c r="A9" s="25" t="inlineStr">
        <is>
          <t>THE WITHHELD NAME. The player never sees what Nashar writes, in F0 or anywhere after. This is</t>
        </is>
      </c>
    </row>
    <row r="10" ht="15" customHeight="1" s="18">
      <c r="A10" s="25" t="inlineStr">
        <is>
          <t>the spine of the whole epistemology: the game is about people arguing over a record none of them</t>
        </is>
      </c>
    </row>
    <row r="11" ht="15" customHeight="1" s="18">
      <c r="A11" s="25" t="inlineStr">
        <is>
          <t>can fully read, and the player must be INSIDE that condition rather than above it. Showing the</t>
        </is>
      </c>
    </row>
    <row r="12" ht="15" customHeight="1" s="18">
      <c r="A12" s="25" t="inlineStr">
        <is>
          <t>name would make the player a holder of secret knowledge and quietly convert five sects into four</t>
        </is>
      </c>
    </row>
    <row r="13" ht="15" customHeight="1" s="18">
      <c r="A13" s="25" t="inlineStr">
        <is>
          <t>wrong ones. It also means F1's copying accident lands as loss rather than as dramatic irony --</t>
        </is>
      </c>
    </row>
    <row r="14" ht="15" customHeight="1" s="18">
      <c r="A14" s="25" t="inlineStr">
        <is>
          <t>nobody in the world knows what went missing, including the person who was in the room.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U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7" min="1" max="1"/>
    <col width="13" customWidth="1" style="17" min="2" max="2"/>
    <col width="26" customWidth="1" style="17" min="3" max="3"/>
    <col width="7" customWidth="1" style="17" min="4" max="4"/>
    <col width="14" customWidth="1" style="17" min="5" max="5"/>
    <col width="11" customWidth="1" style="17" min="6" max="6"/>
    <col width="11" customWidth="1" style="17" min="7" max="7"/>
    <col width="32" customWidth="1" style="17" min="8" max="8"/>
    <col width="14" customWidth="1" style="17" min="9" max="9"/>
    <col width="56" customWidth="1" style="17" min="10" max="10"/>
  </cols>
  <sheetData>
    <row r="1" ht="30" customHeight="1" s="18">
      <c r="A1" s="21" t="inlineStr">
        <is>
          <t>punit_id</t>
        </is>
      </c>
      <c r="B1" s="21" t="inlineStr">
        <is>
          <t>name</t>
        </is>
      </c>
      <c r="C1" s="21" t="inlineStr">
        <is>
          <t>role</t>
        </is>
      </c>
      <c r="D1" s="21" t="inlineStr">
        <is>
          <t>move</t>
        </is>
      </c>
      <c r="E1" s="26" t="inlineStr">
        <is>
          <t>movement_type</t>
        </is>
      </c>
      <c r="F1" s="26" t="inlineStr">
        <is>
          <t>deploy_row</t>
        </is>
      </c>
      <c r="G1" s="26" t="inlineStr">
        <is>
          <t>deploy_col</t>
        </is>
      </c>
      <c r="H1" s="21" t="inlineStr">
        <is>
          <t>hp</t>
        </is>
      </c>
      <c r="I1" s="21" t="inlineStr">
        <is>
          <t>what_they_do</t>
        </is>
      </c>
      <c r="J1" s="21" t="inlineStr">
        <is>
          <t>what_it_teaches</t>
        </is>
      </c>
      <c r="K1" s="21" t="inlineStr">
        <is>
          <t>ancestor_of</t>
        </is>
      </c>
      <c r="L1" s="21" t="inlineStr">
        <is>
          <t>dmg_vs_statue</t>
        </is>
      </c>
      <c r="M1" s="21" t="inlineStr">
        <is>
          <t>weapon_art</t>
        </is>
      </c>
      <c r="N1" s="21" t="inlineStr">
        <is>
          <t>str</t>
        </is>
      </c>
      <c r="O1" s="21" t="inlineStr">
        <is>
          <t>mag</t>
        </is>
      </c>
      <c r="P1" s="21" t="inlineStr">
        <is>
          <t>dex</t>
        </is>
      </c>
      <c r="Q1" s="21" t="inlineStr">
        <is>
          <t>spd</t>
        </is>
      </c>
      <c r="R1" s="21" t="inlineStr">
        <is>
          <t>lck</t>
        </is>
      </c>
      <c r="S1" s="21" t="inlineStr">
        <is>
          <t>def</t>
        </is>
      </c>
      <c r="T1" s="21" t="inlineStr">
        <is>
          <t>res</t>
        </is>
      </c>
      <c r="U1" s="21" t="inlineStr">
        <is>
          <t>notes</t>
        </is>
      </c>
    </row>
    <row r="2" ht="23.85" customHeight="1" s="18">
      <c r="A2" s="23" t="inlineStr">
        <is>
          <t>pu_sargath</t>
        </is>
      </c>
      <c r="B2" s="23" t="inlineStr">
        <is>
          <t>Sargath</t>
        </is>
      </c>
      <c r="C2" s="23" t="inlineStr">
        <is>
          <t>king; sword and authority</t>
        </is>
      </c>
      <c r="D2" s="23" t="n">
        <v>6</v>
      </c>
      <c r="E2" s="17" t="inlineStr">
        <is>
          <t>infantry</t>
        </is>
      </c>
      <c r="F2" s="17" t="n">
        <v>15</v>
      </c>
      <c r="G2" s="17" t="n">
        <v>9</v>
      </c>
      <c r="H2" s="23" t="n">
        <v>22</v>
      </c>
      <c r="I2" s="23" t="inlineStr">
        <is>
          <t>must personally seize the temple terrace</t>
        </is>
      </c>
      <c r="J2" s="23" t="inlineStr">
        <is>
          <t>objectives that require a specific unit</t>
        </is>
      </c>
      <c r="K2" s="23" t="inlineStr">
        <is>
          <t>the Strategist line</t>
        </is>
      </c>
      <c r="L2" s="30" t="n">
        <v>14</v>
      </c>
      <c r="M2" s="17" t="inlineStr">
        <is>
          <t>sword</t>
        </is>
      </c>
      <c r="N2" s="17" t="n">
        <v>5</v>
      </c>
      <c r="O2" s="17" t="n">
        <v>3</v>
      </c>
      <c r="P2" s="17" t="n">
        <v>6</v>
      </c>
      <c r="Q2" s="17" t="n">
        <v>6</v>
      </c>
      <c r="R2" s="17" t="n">
        <v>5</v>
      </c>
      <c r="S2" s="17" t="n">
        <v>4</v>
      </c>
      <c r="T2" s="17" t="n">
        <v>3</v>
      </c>
      <c r="U2" s="23" t="inlineStr">
        <is>
          <t>the one time in the whole game the player commands a head of state in person</t>
        </is>
      </c>
    </row>
    <row r="3" ht="23.85" customHeight="1" s="18">
      <c r="A3" s="23" t="inlineStr">
        <is>
          <t>pu_enmet</t>
        </is>
      </c>
      <c r="B3" s="23" t="inlineStr">
        <is>
          <t>Enmet</t>
        </is>
      </c>
      <c r="C3" s="23" t="inlineStr">
        <is>
          <t>the wall-breaker; reason</t>
        </is>
      </c>
      <c r="D3" s="23" t="n">
        <v>5</v>
      </c>
      <c r="E3" s="17" t="inlineStr">
        <is>
          <t>infantry</t>
        </is>
      </c>
      <c r="F3" s="17" t="n">
        <v>15</v>
      </c>
      <c r="G3" s="17" t="n">
        <v>8</v>
      </c>
      <c r="H3" s="23" t="n">
        <v>18</v>
      </c>
      <c r="I3" s="23" t="inlineStr">
        <is>
          <t>one cast removes the wall, turn 1</t>
        </is>
      </c>
      <c r="J3" s="23" t="inlineStr">
        <is>
          <t>terrain is destructible</t>
        </is>
      </c>
      <c r="K3" s="23" t="inlineStr">
        <is>
          <t>Warlock; the Tzitzimitl's Corrosion</t>
        </is>
      </c>
      <c r="L3" s="30" t="n">
        <v>16</v>
      </c>
      <c r="M3" s="17" t="inlineStr">
        <is>
          <t>reason</t>
        </is>
      </c>
      <c r="N3" s="17" t="n">
        <v>3</v>
      </c>
      <c r="O3" s="17" t="n">
        <v>6</v>
      </c>
      <c r="P3" s="17" t="n">
        <v>6</v>
      </c>
      <c r="Q3" s="17" t="n">
        <v>6</v>
      </c>
      <c r="R3" s="17" t="n">
        <v>5</v>
      </c>
      <c r="S3" s="17" t="n">
        <v>4</v>
      </c>
      <c r="T3" s="17" t="n">
        <v>3</v>
      </c>
      <c r="U3" s="23" t="inlineStr">
        <is>
          <t>young, rain-soaked, unbothered, the most destructive thing on the continent; the modern doctrinal bans exist because of people like her</t>
        </is>
      </c>
    </row>
    <row r="4" ht="15" customHeight="1" s="18">
      <c r="A4" s="23" t="inlineStr">
        <is>
          <t>pu_tasme</t>
        </is>
      </c>
      <c r="B4" s="23" t="inlineStr">
        <is>
          <t>Tasme</t>
        </is>
      </c>
      <c r="C4" s="23" t="inlineStr">
        <is>
          <t>chariot; lance</t>
        </is>
      </c>
      <c r="D4" s="23" t="n">
        <v>9</v>
      </c>
      <c r="E4" s="17" t="inlineStr">
        <is>
          <t>riding</t>
        </is>
      </c>
      <c r="F4" s="17" t="n">
        <v>15</v>
      </c>
      <c r="G4" s="17" t="n">
        <v>3</v>
      </c>
      <c r="H4" s="23" t="n">
        <v>20</v>
      </c>
      <c r="I4" s="23" t="inlineStr">
        <is>
          <t>absurd movement, cannot climb the terraces</t>
        </is>
      </c>
      <c r="J4" s="23" t="inlineStr">
        <is>
          <t>movement types and terrain cost</t>
        </is>
      </c>
      <c r="K4" s="23" t="inlineStr">
        <is>
          <t>the riding column</t>
        </is>
      </c>
      <c r="L4" s="30" t="n">
        <v>12</v>
      </c>
      <c r="M4" s="17" t="inlineStr">
        <is>
          <t>lance</t>
        </is>
      </c>
      <c r="N4" s="17" t="n">
        <v>5</v>
      </c>
      <c r="O4" s="17" t="n">
        <v>3</v>
      </c>
      <c r="P4" s="17" t="n">
        <v>6</v>
      </c>
      <c r="Q4" s="17" t="n">
        <v>6</v>
      </c>
      <c r="R4" s="17" t="n">
        <v>5</v>
      </c>
      <c r="S4" s="17" t="n">
        <v>4</v>
      </c>
      <c r="T4" s="17" t="n">
        <v>3</v>
      </c>
      <c r="U4" s="23" t="inlineStr">
        <is>
          <t>shows the player what mobility buys and what it costs</t>
        </is>
      </c>
    </row>
    <row r="5" ht="23.85" customHeight="1" s="18">
      <c r="A5" s="23" t="inlineStr">
        <is>
          <t>pu_bel_iddin</t>
        </is>
      </c>
      <c r="B5" s="23" t="inlineStr">
        <is>
          <t>Bel-Iddin</t>
        </is>
      </c>
      <c r="C5" s="23" t="inlineStr">
        <is>
          <t>shield-bearer; lance and shield</t>
        </is>
      </c>
      <c r="D5" s="23" t="n">
        <v>4</v>
      </c>
      <c r="E5" s="17" t="inlineStr">
        <is>
          <t>armor</t>
        </is>
      </c>
      <c r="F5" s="17" t="n">
        <v>15</v>
      </c>
      <c r="G5" s="17" t="n">
        <v>11</v>
      </c>
      <c r="H5" s="23" t="n">
        <v>30</v>
      </c>
      <c r="I5" s="23" t="inlineStr">
        <is>
          <t>holds the aqueduct span alone against everything</t>
        </is>
      </c>
      <c r="J5" s="23" t="inlineStr">
        <is>
          <t>chokepoints and the enemy phase</t>
        </is>
      </c>
      <c r="K5" s="23" t="inlineStr">
        <is>
          <t>General, Great shield</t>
        </is>
      </c>
      <c r="L5" s="30" t="n">
        <v>10</v>
      </c>
      <c r="M5" s="17" t="inlineStr">
        <is>
          <t>lance</t>
        </is>
      </c>
      <c r="N5" s="17" t="n">
        <v>5</v>
      </c>
      <c r="O5" s="17" t="n">
        <v>3</v>
      </c>
      <c r="P5" s="17" t="n">
        <v>6</v>
      </c>
      <c r="Q5" s="17" t="n">
        <v>6</v>
      </c>
      <c r="R5" s="17" t="n">
        <v>5</v>
      </c>
      <c r="S5" s="17" t="n">
        <v>4</v>
      </c>
      <c r="T5" s="17" t="n">
        <v>3</v>
      </c>
      <c r="U5" s="23" t="inlineStr">
        <is>
          <t>the span is one tile wide; he simply does not move</t>
        </is>
      </c>
    </row>
    <row r="6" ht="15" customHeight="1" s="18">
      <c r="A6" s="23" t="inlineStr">
        <is>
          <t>pu_sirru</t>
        </is>
      </c>
      <c r="B6" s="23" t="inlineStr">
        <is>
          <t>Sirru</t>
        </is>
      </c>
      <c r="C6" s="23" t="inlineStr">
        <is>
          <t>archer; bow</t>
        </is>
      </c>
      <c r="D6" s="23" t="n">
        <v>5</v>
      </c>
      <c r="E6" s="17" t="inlineStr">
        <is>
          <t>infantry</t>
        </is>
      </c>
      <c r="F6" s="17" t="n">
        <v>15</v>
      </c>
      <c r="G6" s="17" t="n">
        <v>12</v>
      </c>
      <c r="H6" s="23" t="n">
        <v>18</v>
      </c>
      <c r="I6" s="23" t="inlineStr">
        <is>
          <t>kills across the water channels</t>
        </is>
      </c>
      <c r="J6" s="23" t="inlineStr">
        <is>
          <t>range, and impassable terrain</t>
        </is>
      </c>
      <c r="K6" s="23" t="inlineStr">
        <is>
          <t>Sniper, Pavisier</t>
        </is>
      </c>
      <c r="L6" s="30" t="n">
        <v>11</v>
      </c>
      <c r="M6" s="17" t="inlineStr">
        <is>
          <t>bow</t>
        </is>
      </c>
      <c r="N6" s="17" t="n">
        <v>5</v>
      </c>
      <c r="O6" s="17" t="n">
        <v>3</v>
      </c>
      <c r="P6" s="17" t="n">
        <v>6</v>
      </c>
      <c r="Q6" s="17" t="n">
        <v>6</v>
      </c>
      <c r="R6" s="17" t="n">
        <v>5</v>
      </c>
      <c r="S6" s="17" t="n">
        <v>4</v>
      </c>
      <c r="T6" s="17" t="n">
        <v>3</v>
      </c>
      <c r="U6" s="23" t="inlineStr">
        <is>
          <t>the channels teach that water stops feet and not arrows</t>
        </is>
      </c>
    </row>
    <row r="7" ht="15" customHeight="1" s="18">
      <c r="A7" s="23" t="inlineStr">
        <is>
          <t>pu_kadar</t>
        </is>
      </c>
      <c r="B7" s="23" t="inlineStr">
        <is>
          <t>Kadar</t>
        </is>
      </c>
      <c r="C7" s="23" t="inlineStr">
        <is>
          <t>axe</t>
        </is>
      </c>
      <c r="D7" s="23" t="n">
        <v>5</v>
      </c>
      <c r="E7" s="17" t="inlineStr">
        <is>
          <t>infantry</t>
        </is>
      </c>
      <c r="F7" s="17" t="n">
        <v>15</v>
      </c>
      <c r="G7" s="17" t="n">
        <v>15</v>
      </c>
      <c r="H7" s="23" t="n">
        <v>24</v>
      </c>
      <c r="I7" s="23" t="inlineStr">
        <is>
          <t>one-rounds anything on the terraces</t>
        </is>
      </c>
      <c r="J7" s="23" t="inlineStr">
        <is>
          <t>the weapon triangle</t>
        </is>
      </c>
      <c r="K7" s="23" t="inlineStr">
        <is>
          <t>Warrior, Housecarl</t>
        </is>
      </c>
      <c r="L7" s="30" t="n">
        <v>18</v>
      </c>
      <c r="M7" s="17" t="inlineStr">
        <is>
          <t>axe</t>
        </is>
      </c>
      <c r="N7" s="17" t="n">
        <v>5</v>
      </c>
      <c r="O7" s="17" t="n">
        <v>3</v>
      </c>
      <c r="P7" s="17" t="n">
        <v>6</v>
      </c>
      <c r="Q7" s="17" t="n">
        <v>6</v>
      </c>
      <c r="R7" s="17" t="n">
        <v>5</v>
      </c>
      <c r="S7" s="17" t="n">
        <v>4</v>
      </c>
      <c r="T7" s="17" t="n">
        <v>3</v>
      </c>
      <c r="U7" s="23" t="inlineStr">
        <is>
          <t>the highest damage against the statue, which is the point</t>
        </is>
      </c>
    </row>
    <row r="8" ht="15" customHeight="1" s="18">
      <c r="A8" s="23" t="inlineStr">
        <is>
          <t>pu_ilat</t>
        </is>
      </c>
      <c r="B8" s="23" t="inlineStr">
        <is>
          <t>Ilat</t>
        </is>
      </c>
      <c r="C8" s="23" t="inlineStr">
        <is>
          <t>priestess; faith</t>
        </is>
      </c>
      <c r="D8" s="23" t="n">
        <v>5</v>
      </c>
      <c r="E8" s="17" t="inlineStr">
        <is>
          <t>infantry</t>
        </is>
      </c>
      <c r="F8" s="17" t="n">
        <v>15</v>
      </c>
      <c r="G8" s="17" t="n">
        <v>10</v>
      </c>
      <c r="H8" s="23" t="n">
        <v>16</v>
      </c>
      <c r="I8" s="23" t="inlineStr">
        <is>
          <t>heals, and lifts the fatigue marker</t>
        </is>
      </c>
      <c r="J8" s="23" t="inlineStr">
        <is>
          <t>support actions</t>
        </is>
      </c>
      <c r="K8" s="23" t="inlineStr">
        <is>
          <t>Bishop; the Simurgh's role</t>
        </is>
      </c>
      <c r="L8" s="30" t="n">
        <v>6</v>
      </c>
      <c r="M8" s="17" t="inlineStr">
        <is>
          <t>faith</t>
        </is>
      </c>
      <c r="N8" s="17" t="n">
        <v>3</v>
      </c>
      <c r="O8" s="17" t="n">
        <v>6</v>
      </c>
      <c r="P8" s="17" t="n">
        <v>6</v>
      </c>
      <c r="Q8" s="17" t="n">
        <v>6</v>
      </c>
      <c r="R8" s="17" t="n">
        <v>5</v>
      </c>
      <c r="S8" s="17" t="n">
        <v>4</v>
      </c>
      <c r="T8" s="17" t="n">
        <v>3</v>
      </c>
      <c r="U8" s="23" t="inlineStr">
        <is>
          <t>she can hit the statue too, badly, and the game does not stop her</t>
        </is>
      </c>
    </row>
    <row r="9" ht="23.85" customHeight="1" s="18">
      <c r="A9" s="23" t="inlineStr">
        <is>
          <t>pu_nashar</t>
        </is>
      </c>
      <c r="B9" s="23" t="inlineStr">
        <is>
          <t>Nashar</t>
        </is>
      </c>
      <c r="C9" s="23" t="inlineStr">
        <is>
          <t>the scribe; non-combatant</t>
        </is>
      </c>
      <c r="D9" s="23" t="n">
        <v>5</v>
      </c>
      <c r="E9" s="17" t="inlineStr">
        <is>
          <t>infantry</t>
        </is>
      </c>
      <c r="F9" s="17" t="n">
        <v>15</v>
      </c>
      <c r="G9" s="17" t="n">
        <v>7</v>
      </c>
      <c r="H9" s="23" t="n">
        <v>12</v>
      </c>
      <c r="I9" s="23" t="inlineStr">
        <is>
          <t>follows; cannot attack; must survive</t>
        </is>
      </c>
      <c r="J9" s="23" t="inlineStr">
        <is>
          <t>protect-the-unit, and the ending</t>
        </is>
      </c>
      <c r="K9" s="23" t="inlineStr">
        <is>
          <t>the surveyor, and the whole clerk thread</t>
        </is>
      </c>
      <c r="L9" s="30" t="n">
        <v>0</v>
      </c>
      <c r="N9" s="17" t="n">
        <v>0</v>
      </c>
      <c r="O9" s="17" t="n">
        <v>0</v>
      </c>
      <c r="P9" s="17" t="n">
        <v>0</v>
      </c>
      <c r="Q9" s="17" t="n">
        <v>0</v>
      </c>
      <c r="R9" s="17" t="n">
        <v>0</v>
      </c>
      <c r="S9" s="17" t="n">
        <v>0</v>
      </c>
      <c r="T9" s="17" t="n">
        <v>0</v>
      </c>
      <c r="U9" s="23" t="inlineStr">
        <is>
          <t>the player spends the map vaguely protecting him without knowing why</t>
        </is>
      </c>
    </row>
    <row r="11" ht="15" customHeight="1" s="18">
      <c r="A11" s="25" t="inlineStr">
        <is>
          <t>Eight ancestors, each a preview of a class the player will spend 30 chapters earning. Nobody here is recruitable and nobody here appears again. The roster is a PROMISE, and the campaign is the bill.</t>
        </is>
      </c>
    </row>
    <row r="12">
      <c r="A12" s="17" t="inlineStr">
        <is>
          <t>NOTE -- movement_type sourcing. For each unit, ancestor_of was cross-referenced against classes.movement. pu_sargath/cls_strategist, pu_enmet/cls_warlock, pu_bel_iddin/cls_general+cls_great_shield (both armor), and pu_ilat/cls_bishop are unambiguous single- or agreeing-class matches. pu_tasme=riding is stated outright ('the riding column') and matches her own note. pu_sirru and pu_kadar are each ancestor_of TWO classes with DIFFERENT movement types (Sniper=infantry vs Pavisier=armor; Warrior=infantry vs Housecarl=armor) -- infantry was picked as the first-listed lineage in both cases, not because the prose settles it either way. pu_nashar has no matching class at all ('surveyor'/'clerk thread' aren't class names in the classes tab) and was defaulted to infantry from his non-combat foot-follower role. Review pu_sirru, pu_kadar, and pu_nashar in particular. Drafted by a Claude Code session, 2026-09-14.</t>
        </is>
      </c>
    </row>
    <row r="13">
      <c r="A13" s="17" t="inlineStr">
        <is>
          <t>NOTE -- deploy_row/deploy_col added. deploy_row=15 for all 8 (the court, behind the unbroken wall) is stated outright in map_f00_reference.png's caption. deploy_col is only textually grounded for two units: Sargath at col 9 lines up under his seize objective (also col 9, row 2); Bel-Iddin at col 11 lines up under the aqueduct span, explicitly '(11,12)' in the same caption. Enmet/Sirru/Kadar/Ilat/Nashar's columns are my placement choices (roughly: Enmet beside Sargath since she acts on the wall turn 1; Sirru beside Bel-Iddin near the channel she shoots across; Kadar off to the col-14-16 side where the lower terrace gap is; Ilat/Nashar central with the main group) -- not sourced from anything written, review and correct freely. Drafted by a Claude Code session, 2026-09-14.</t>
        </is>
      </c>
    </row>
    <row r="14">
      <c r="A14" s="17" t="inlineStr">
        <is>
          <t>NOTE -- weapon_art/str/mag/dex/spd/lck/def/res added. weapon_art is read straight off each unit's own 'role' text (e.g. pu_kadar's role is literally 'axe'); pu_nashar is null, matching his existing 'cannot attack' / dmg_vs_statue=0. The 7 numeric stats are NOT newly invented numbers -- all 7 combat-capable units reuse the exact 'trained' tier baseline already established in unit_base_stats/enemy_archetypes generation (identical to ea_relic_hunter's own stats, since enemies get baseline alone with no growth bonus), with str/mag swapped for the two magic-art units (Enmet, Ilat) the same way trained-tier player mages already skew mag over str (see u_emmerich/u_anselm in unit_base_stats). hp and dmg_vs_statue are untouched. This exists to let real unit-vs-unit combat run on this roster at all -- previously only move/hp/dmg_vs_statue existed, nothing Combat.gd could use. Added for the F0 garrison-soldier fight; review/replace freely if named per-unit stats are ever written. Drafted by a Claude Code session, 2026-09-16.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17" min="1" max="1"/>
    <col width="22" customWidth="1" style="17" min="2" max="2"/>
    <col width="17" customWidth="1" style="17" min="3" max="3"/>
    <col width="8" customWidth="1" style="17" min="4" max="4"/>
    <col width="9" customWidth="1" style="17" min="5" max="5"/>
    <col width="12" customWidth="1" style="17" min="6" max="6"/>
    <col width="22" customWidth="1" style="17" min="7" max="7"/>
    <col width="62" customWidth="1" style="17" min="8" max="8"/>
    <col width="46" customWidth="1" style="17" min="9" max="9"/>
  </cols>
  <sheetData>
    <row r="1" ht="30" customHeight="1" s="18">
      <c r="A1" s="21" t="inlineStr">
        <is>
          <t>structure_id</t>
        </is>
      </c>
      <c r="B1" s="21" t="inlineStr">
        <is>
          <t>name</t>
        </is>
      </c>
      <c r="C1" s="21" t="inlineStr">
        <is>
          <t>turns_to_destroy</t>
        </is>
      </c>
      <c r="D1" s="21" t="inlineStr">
        <is>
          <t>hp</t>
        </is>
      </c>
      <c r="E1" s="21" t="inlineStr">
        <is>
          <t>defence</t>
        </is>
      </c>
      <c r="F1" s="21" t="inlineStr">
        <is>
          <t>retaliates</t>
        </is>
      </c>
      <c r="G1" s="21" t="inlineStr">
        <is>
          <t>requires_multiple_units</t>
        </is>
      </c>
      <c r="H1" s="21" t="inlineStr">
        <is>
          <t>behaviour</t>
        </is>
      </c>
      <c r="I1" s="21" t="inlineStr">
        <is>
          <t>what_it_argues</t>
        </is>
      </c>
    </row>
    <row r="2" ht="23.85" customHeight="1" s="18">
      <c r="A2" s="23" t="inlineStr">
        <is>
          <t>str_wall</t>
        </is>
      </c>
      <c r="B2" s="23" t="inlineStr">
        <is>
          <t>The river wall</t>
        </is>
      </c>
      <c r="C2" s="23" t="n">
        <v>1</v>
      </c>
      <c r="D2" s="23" t="n">
        <v>400</v>
      </c>
      <c r="E2" s="23" t="n">
        <v>0</v>
      </c>
      <c r="F2" s="23" t="inlineStr">
        <is>
          <t>no</t>
        </is>
      </c>
      <c r="G2" s="23" t="inlineStr">
        <is>
          <t>no</t>
        </is>
      </c>
      <c r="H2" s="23" t="inlineStr">
        <is>
          <t>Enmet removes it in one cast on turn 1; 40 tiles of masonry, a generation to build</t>
        </is>
      </c>
      <c r="I2" s="23" t="inlineStr">
        <is>
          <t>SPECTACLE: instant, and it takes one gifted person</t>
        </is>
      </c>
    </row>
    <row r="3" ht="23.85" customHeight="1" s="18">
      <c r="A3" s="23" t="inlineStr">
        <is>
          <t>str_statue</t>
        </is>
      </c>
      <c r="B3" s="23" t="inlineStr">
        <is>
          <t>The patron's image</t>
        </is>
      </c>
      <c r="C3" s="23" t="n">
        <v>5</v>
      </c>
      <c r="D3" s="23" t="n">
        <v>340</v>
      </c>
      <c r="E3" s="23" t="n">
        <v>0</v>
      </c>
      <c r="F3" s="23" t="inlineStr">
        <is>
          <t>no</t>
        </is>
      </c>
      <c r="G3" s="23" t="inlineStr">
        <is>
          <t>yes</t>
        </is>
      </c>
      <c r="H3" s="23" t="inlineStr">
        <is>
          <t>no defence, no retaliation, cannot be one-shot by anyone; every unit must walk up and hit it</t>
        </is>
      </c>
      <c r="I3" s="23" t="inlineStr">
        <is>
          <t>EROSION: slow, communal, boring, and it needs everybody's hands on it</t>
        </is>
      </c>
    </row>
    <row r="5" ht="15" customHeight="1" s="18">
      <c r="A5" s="25" t="inlineStr">
        <is>
          <t>The inversion IS the prologue. Military conquest is instant and spectacular. Cultural erasure is slow and takes the whole warband. No cutscene explains this; the numbers do. Do not let one unit finish the statue.</t>
        </is>
      </c>
    </row>
    <row r="8" ht="15" customHeight="1" s="18">
      <c r="A8" s="25" t="inlineStr">
        <is>
          <t>The image is broken before the name is written, and the name is never shown. Order matters: you</t>
        </is>
      </c>
    </row>
    <row r="9" ht="15" customHeight="1" s="18">
      <c r="A9" s="25" t="inlineStr">
        <is>
          <t>cannot write down a god that people can still see, and the player cannot be told what a god is</t>
        </is>
      </c>
    </row>
    <row r="10" ht="15" customHeight="1" s="18">
      <c r="A10" s="25" t="inlineStr">
        <is>
          <t>called and still share the world's ignorance.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18" customWidth="1" style="17" min="2" max="2"/>
    <col width="12" customWidth="1" style="17" min="3" max="3"/>
    <col width="16" customWidth="1" style="17" min="4" max="4"/>
    <col width="46" customWidth="1" style="17" min="5" max="5"/>
  </cols>
  <sheetData>
    <row r="1" ht="30" customHeight="1" s="18">
      <c r="A1" s="21" t="inlineStr">
        <is>
          <t>scenario</t>
        </is>
      </c>
      <c r="B1" s="21" t="inlineStr">
        <is>
          <t>damage_per_turn</t>
        </is>
      </c>
      <c r="C1" s="21" t="inlineStr">
        <is>
          <t>statue_hp</t>
        </is>
      </c>
      <c r="D1" s="21" t="inlineStr">
        <is>
          <t>turns_required</t>
        </is>
      </c>
      <c r="E1" s="21" t="inlineStr">
        <is>
          <t>reading</t>
        </is>
      </c>
    </row>
    <row r="2" ht="15" customHeight="1" s="18">
      <c r="A2" s="23" t="inlineStr">
        <is>
          <t>all seven combatants attacking every turn</t>
        </is>
      </c>
      <c r="B2" s="23" t="n">
        <v>87</v>
      </c>
      <c r="C2" s="23" t="n">
        <v>340</v>
      </c>
      <c r="D2" s="23" t="n">
        <v>4</v>
      </c>
      <c r="E2" s="23" t="inlineStr">
        <is>
          <t>the intended pace</t>
        </is>
      </c>
    </row>
    <row r="3" ht="15" customHeight="1" s="18">
      <c r="A3" s="23" t="inlineStr">
        <is>
          <t>without Kadar (the heaviest hitter)</t>
        </is>
      </c>
      <c r="B3" s="23" t="n">
        <v>69</v>
      </c>
      <c r="C3" s="23" t="n">
        <v>340</v>
      </c>
      <c r="D3" s="23" t="n">
        <v>5</v>
      </c>
      <c r="E3" s="23" t="inlineStr">
        <is>
          <t>still finishes; nobody is mandatory</t>
        </is>
      </c>
    </row>
    <row r="4" ht="15" customHeight="1" s="18">
      <c r="A4" s="23" t="inlineStr">
        <is>
          <t>Kadar alone</t>
        </is>
      </c>
      <c r="B4" s="23" t="n">
        <v>18</v>
      </c>
      <c r="C4" s="23" t="n">
        <v>340</v>
      </c>
      <c r="D4" s="23" t="n">
        <v>19</v>
      </c>
      <c r="E4" s="23" t="inlineStr">
        <is>
          <t>far too slow -- the solo route is closed by arithmetic</t>
        </is>
      </c>
    </row>
    <row r="5" ht="15" customHeight="1" s="18">
      <c r="A5" s="23" t="inlineStr">
        <is>
          <t>Sargath alone</t>
        </is>
      </c>
      <c r="B5" s="23" t="n">
        <v>14</v>
      </c>
      <c r="C5" s="23" t="n">
        <v>340</v>
      </c>
      <c r="D5" s="23" t="n">
        <v>25</v>
      </c>
      <c r="E5" s="23" t="inlineStr">
        <is>
          <t>the king cannot do this by himself, which is the point</t>
        </is>
      </c>
    </row>
    <row r="7" ht="15" customHeight="1" s="18">
      <c r="A7" s="25" t="inlineStr">
        <is>
          <t>Statue at 340 HP against 87 damage per turn from seven combatants gives 4 turns of the entire warband hitting an object that does not move. Tune statue_hp, not the unit damage -- the per-unit numbers are characterisation.</t>
        </is>
      </c>
    </row>
    <row r="11" ht="15" customHeight="1" s="18">
      <c r="A11" s="25" t="inlineStr">
        <is>
          <t>STATUE ACCESS (from the tile grid): only 4 orthogonal tiles touch the image, so 7 combatants</t>
        </is>
      </c>
    </row>
    <row r="12" ht="15" customHeight="1" s="18">
      <c r="A12" s="25" t="inlineStr">
        <is>
          <t>cannot all swing in the same turn -- the warband has to ROTATE through it. That stretches the</t>
        </is>
      </c>
    </row>
    <row r="13" ht="15" customHeight="1" s="18">
      <c r="A13" s="25" t="inlineStr">
        <is>
          <t>arithmetic-4-turns into 5-6 turns of actual play, which is the intended feeling.</t>
        </is>
      </c>
    </row>
    <row r="14" ht="15" customHeight="1" s="18">
      <c r="A14" s="25" t="inlineStr">
        <is>
          <t>Tasme cannot reach the temple terrace at all: chariots do not climb. She watches from the court.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2"/>
    <col width="15" customWidth="1" style="17" min="3" max="3"/>
    <col width="10" customWidth="1" style="17" min="4" max="4"/>
    <col width="44" customWidth="1" style="17" min="5" max="5"/>
    <col width="40" customWidth="1" style="17" min="6" max="6"/>
    <col width="46" customWidth="1" style="17" min="7" max="7"/>
    <col width="54" customWidth="1" style="17" min="8" max="8"/>
  </cols>
  <sheetData>
    <row r="1" ht="30" customHeight="1" s="18">
      <c r="A1" s="21" t="inlineStr">
        <is>
          <t>sign_id</t>
        </is>
      </c>
      <c r="B1" s="21" t="inlineStr">
        <is>
          <t>name</t>
        </is>
      </c>
      <c r="C1" s="21" t="inlineStr">
        <is>
          <t>season</t>
        </is>
      </c>
      <c r="D1" s="21" t="inlineStr">
        <is>
          <t>element</t>
        </is>
      </c>
      <c r="E1" s="21" t="inlineStr">
        <is>
          <t>archetype</t>
        </is>
      </c>
      <c r="F1" s="21" t="inlineStr">
        <is>
          <t>virtue</t>
        </is>
      </c>
      <c r="G1" s="21" t="inlineStr">
        <is>
          <t>failure_mode</t>
        </is>
      </c>
      <c r="H1" s="21" t="inlineStr">
        <is>
          <t>calendar_note</t>
        </is>
      </c>
    </row>
    <row r="2" ht="23.85" customHeight="1" s="18">
      <c r="A2" s="23" t="inlineStr">
        <is>
          <t>sgn_ram</t>
        </is>
      </c>
      <c r="B2" s="23" t="inlineStr">
        <is>
          <t>the Ram</t>
        </is>
      </c>
      <c r="C2" s="23" t="inlineStr">
        <is>
          <t>spring, first</t>
        </is>
      </c>
      <c r="D2" s="23" t="inlineStr">
        <is>
          <t>fire</t>
        </is>
      </c>
      <c r="E2" s="23" t="inlineStr">
        <is>
          <t>the one who goes first and does not look back</t>
        </is>
      </c>
      <c r="F2" s="23" t="inlineStr">
        <is>
          <t>decisive under pressure</t>
        </is>
      </c>
      <c r="G2" s="23" t="inlineStr">
        <is>
          <t>cannot sit still long enough to be told the plan</t>
        </is>
      </c>
      <c r="H2" s="23" t="inlineStr">
        <is>
          <t>the Diadem keeps the Venerated's feast here: born at the lambing, hence the title</t>
        </is>
      </c>
    </row>
    <row r="3" ht="15" customHeight="1" s="18">
      <c r="A3" s="23" t="inlineStr">
        <is>
          <t>sgn_bull</t>
        </is>
      </c>
      <c r="B3" s="23" t="inlineStr">
        <is>
          <t>the Bull</t>
        </is>
      </c>
      <c r="C3" s="23" t="inlineStr">
        <is>
          <t>spring, second</t>
        </is>
      </c>
      <c r="D3" s="23" t="inlineStr">
        <is>
          <t>earth</t>
        </is>
      </c>
      <c r="E3" s="23" t="inlineStr">
        <is>
          <t>the one who will not be moved</t>
        </is>
      </c>
      <c r="F3" s="23" t="inlineStr">
        <is>
          <t>holds ground nobody else could</t>
        </is>
      </c>
      <c r="G3" s="23" t="inlineStr">
        <is>
          <t>mistakes stubbornness for principle</t>
        </is>
      </c>
    </row>
    <row r="4" ht="15" customHeight="1" s="18">
      <c r="A4" s="23" t="inlineStr">
        <is>
          <t>sgn_twins</t>
        </is>
      </c>
      <c r="B4" s="23" t="inlineStr">
        <is>
          <t>the Twins</t>
        </is>
      </c>
      <c r="C4" s="23" t="inlineStr">
        <is>
          <t>spring, third</t>
        </is>
      </c>
      <c r="D4" s="23" t="inlineStr">
        <is>
          <t>air</t>
        </is>
      </c>
      <c r="E4" s="23" t="inlineStr">
        <is>
          <t>the one who argues both sides</t>
        </is>
      </c>
      <c r="F4" s="23" t="inlineStr">
        <is>
          <t>sees the case against their own position</t>
        </is>
      </c>
      <c r="G4" s="23" t="inlineStr">
        <is>
          <t>will not commit while a better argument exists</t>
        </is>
      </c>
    </row>
    <row r="5" ht="15" customHeight="1" s="18">
      <c r="A5" s="23" t="inlineStr">
        <is>
          <t>sgn_crab</t>
        </is>
      </c>
      <c r="B5" s="23" t="inlineStr">
        <is>
          <t>the Crab</t>
        </is>
      </c>
      <c r="C5" s="23" t="inlineStr">
        <is>
          <t>summer, first</t>
        </is>
      </c>
      <c r="D5" s="23" t="inlineStr">
        <is>
          <t>water</t>
        </is>
      </c>
      <c r="E5" s="23" t="inlineStr">
        <is>
          <t>the one who guards the house</t>
        </is>
      </c>
      <c r="F5" s="23" t="inlineStr">
        <is>
          <t>loyal past reason</t>
        </is>
      </c>
      <c r="G5" s="23" t="inlineStr">
        <is>
          <t>the loyalty is to people, not to the cause, and it shows</t>
        </is>
      </c>
    </row>
    <row r="6" ht="23.85" customHeight="1" s="18">
      <c r="A6" s="23" t="inlineStr">
        <is>
          <t>sgn_lion</t>
        </is>
      </c>
      <c r="B6" s="23" t="inlineStr">
        <is>
          <t>the Lion</t>
        </is>
      </c>
      <c r="C6" s="23" t="inlineStr">
        <is>
          <t>summer, second</t>
        </is>
      </c>
      <c r="D6" s="23" t="inlineStr">
        <is>
          <t>fire</t>
        </is>
      </c>
      <c r="E6" s="23" t="inlineStr">
        <is>
          <t>the one who must be seen</t>
        </is>
      </c>
      <c r="F6" s="23" t="inlineStr">
        <is>
          <t>leads from in front because being watched steadies them</t>
        </is>
      </c>
      <c r="G6" s="23" t="inlineStr">
        <is>
          <t>cannot take a demotion gracefully</t>
        </is>
      </c>
    </row>
    <row r="7" ht="15" customHeight="1" s="18">
      <c r="A7" s="23" t="inlineStr">
        <is>
          <t>sgn_maiden</t>
        </is>
      </c>
      <c r="B7" s="23" t="inlineStr">
        <is>
          <t>the Maiden</t>
        </is>
      </c>
      <c r="C7" s="23" t="inlineStr">
        <is>
          <t>summer, third</t>
        </is>
      </c>
      <c r="D7" s="23" t="inlineStr">
        <is>
          <t>earth</t>
        </is>
      </c>
      <c r="E7" s="23" t="inlineStr">
        <is>
          <t>the one who keeps the record</t>
        </is>
      </c>
      <c r="F7" s="23" t="inlineStr">
        <is>
          <t>notices the discrepancy nobody else did</t>
        </is>
      </c>
      <c r="G7" s="23" t="inlineStr">
        <is>
          <t>corrects people who did not ask</t>
        </is>
      </c>
    </row>
    <row r="8" ht="15" customHeight="1" s="18">
      <c r="A8" s="23" t="inlineStr">
        <is>
          <t>sgn_scales</t>
        </is>
      </c>
      <c r="B8" s="23" t="inlineStr">
        <is>
          <t>the Scales</t>
        </is>
      </c>
      <c r="C8" s="23" t="inlineStr">
        <is>
          <t>autumn, first</t>
        </is>
      </c>
      <c r="D8" s="23" t="inlineStr">
        <is>
          <t>air</t>
        </is>
      </c>
      <c r="E8" s="23" t="inlineStr">
        <is>
          <t>the one who weighs</t>
        </is>
      </c>
      <c r="F8" s="23" t="inlineStr">
        <is>
          <t>the fairest arbiter in the room</t>
        </is>
      </c>
      <c r="G8" s="23" t="inlineStr">
        <is>
          <t>delay disguised as deliberation</t>
        </is>
      </c>
    </row>
    <row r="9" ht="15" customHeight="1" s="18">
      <c r="A9" s="23" t="inlineStr">
        <is>
          <t>sgn_scorpion</t>
        </is>
      </c>
      <c r="B9" s="23" t="inlineStr">
        <is>
          <t>the Scorpion</t>
        </is>
      </c>
      <c r="C9" s="23" t="inlineStr">
        <is>
          <t>autumn, second</t>
        </is>
      </c>
      <c r="D9" s="23" t="inlineStr">
        <is>
          <t>water</t>
        </is>
      </c>
      <c r="E9" s="23" t="inlineStr">
        <is>
          <t>the one who does not forget</t>
        </is>
      </c>
      <c r="F9" s="23" t="inlineStr">
        <is>
          <t>carries the grudge that keeps everyone honest</t>
        </is>
      </c>
      <c r="G9" s="23" t="inlineStr">
        <is>
          <t>carries it long after it stopped being useful</t>
        </is>
      </c>
    </row>
    <row r="10" ht="23.85" customHeight="1" s="18">
      <c r="A10" s="23" t="inlineStr">
        <is>
          <t>sgn_archer</t>
        </is>
      </c>
      <c r="B10" s="23" t="inlineStr">
        <is>
          <t>the Archer</t>
        </is>
      </c>
      <c r="C10" s="23" t="inlineStr">
        <is>
          <t>autumn, third</t>
        </is>
      </c>
      <c r="D10" s="23" t="inlineStr">
        <is>
          <t>fire</t>
        </is>
      </c>
      <c r="E10" s="23" t="inlineStr">
        <is>
          <t>the one who goes further out</t>
        </is>
      </c>
      <c r="F10" s="23" t="inlineStr">
        <is>
          <t>the scout who comes back with the thing you needed</t>
        </is>
      </c>
      <c r="G10" s="23" t="inlineStr">
        <is>
          <t>says the true thing at the worst moment</t>
        </is>
      </c>
    </row>
    <row r="11" ht="15" customHeight="1" s="18">
      <c r="A11" s="23" t="inlineStr">
        <is>
          <t>sgn_goat</t>
        </is>
      </c>
      <c r="B11" s="23" t="inlineStr">
        <is>
          <t>the Goat</t>
        </is>
      </c>
      <c r="C11" s="23" t="inlineStr">
        <is>
          <t>winter, first</t>
        </is>
      </c>
      <c r="D11" s="23" t="inlineStr">
        <is>
          <t>earth</t>
        </is>
      </c>
      <c r="E11" s="23" t="inlineStr">
        <is>
          <t>the one who climbs</t>
        </is>
      </c>
      <c r="F11" s="23" t="inlineStr">
        <is>
          <t>will do the unglamorous work for years</t>
        </is>
      </c>
      <c r="G11" s="23" t="inlineStr">
        <is>
          <t>measures people by what they have built</t>
        </is>
      </c>
    </row>
    <row r="12" ht="15" customHeight="1" s="18">
      <c r="A12" s="23" t="inlineStr">
        <is>
          <t>sgn_vessel</t>
        </is>
      </c>
      <c r="B12" s="23" t="inlineStr">
        <is>
          <t>the Vessel</t>
        </is>
      </c>
      <c r="C12" s="23" t="inlineStr">
        <is>
          <t>winter, second</t>
        </is>
      </c>
      <c r="D12" s="23" t="inlineStr">
        <is>
          <t>air</t>
        </is>
      </c>
      <c r="E12" s="23" t="inlineStr">
        <is>
          <t>the one who pours out</t>
        </is>
      </c>
      <c r="F12" s="23" t="inlineStr">
        <is>
          <t>gives away what they needed</t>
        </is>
      </c>
      <c r="G12" s="23" t="inlineStr">
        <is>
          <t>belongs to everyone and therefore to nobody</t>
        </is>
      </c>
    </row>
    <row r="13" ht="15" customHeight="1" s="18">
      <c r="A13" s="23" t="inlineStr">
        <is>
          <t>sgn_fishes</t>
        </is>
      </c>
      <c r="B13" s="23" t="inlineStr">
        <is>
          <t>the Fishes</t>
        </is>
      </c>
      <c r="C13" s="23" t="inlineStr">
        <is>
          <t>winter, third</t>
        </is>
      </c>
      <c r="D13" s="23" t="inlineStr">
        <is>
          <t>water</t>
        </is>
      </c>
      <c r="E13" s="23" t="inlineStr">
        <is>
          <t>the one who dissolves the boundary</t>
        </is>
      </c>
      <c r="F13" s="23" t="inlineStr">
        <is>
          <t>understands the enemy too well to hate them</t>
        </is>
      </c>
      <c r="G13" s="23" t="inlineStr">
        <is>
          <t>understands the enemy too well to fight them</t>
        </is>
      </c>
    </row>
    <row r="15" ht="15" customHeight="1" s="18">
      <c r="A15" s="25" t="inlineStr">
        <is>
          <t>FOR WRITING SUPPORTS, not for stats. Each sign is a recognisable archetype with a virtue and the failure mode that is the SAME TRAIT overdrawn -- the Archer's honesty and their worst-moment timing are one thing. Pair two signs and the A-support tension writes itself: Scales and Ram disagree about how long to think; Maiden and Twins both notice everything and do opposite things with it. CAUTION: the sign is a starting point for a character, never a substitute for one. If a support could be swapped between two units of the same sign without changing, it is not written yet.</t>
        </is>
      </c>
    </row>
    <row r="18" ht="15" customHeight="1" s="18">
      <c r="A18" s="25" t="inlineStr">
        <is>
          <t>WORKED EXAMPLE -- Rinsa, the descender at the oracle. First pass assigned her the Fishes off</t>
        </is>
      </c>
    </row>
    <row r="19" ht="15" customHeight="1" s="18">
      <c r="A19" s="25" t="inlineStr">
        <is>
          <t>'understands the enemy too well', which was wrong: dissolving the boundary means she would have</t>
        </is>
      </c>
    </row>
    <row r="20" ht="15" customHeight="1" s="18">
      <c r="A20" s="25" t="inlineStr">
        <is>
          <t>gone native years ago. The Vessel is right -- detached from the thing she is inside of. She pours</t>
        </is>
      </c>
    </row>
    <row r="21" ht="15" customHeight="1" s="18">
      <c r="A21" s="25" t="inlineStr">
        <is>
          <t>out for hundreds of strangers and belongs to none of them, and her refusal to say whether the</t>
        </is>
      </c>
    </row>
    <row r="22" ht="15" customHeight="1" s="18">
      <c r="A22" s="25" t="inlineStr">
        <is>
          <t>oracle is real is INTELLECTUAL HONESTY, not mysticism: she has the data and will not over-claim</t>
        </is>
      </c>
    </row>
    <row r="23" ht="15" customHeight="1" s="18">
      <c r="A23" s="25" t="inlineStr">
        <is>
          <t>from it. Voice follows: analytical, dry, faintly irritated by people certain in either direction.</t>
        </is>
      </c>
    </row>
    <row r="24" ht="15" customHeight="1" s="18">
      <c r="A24" s="25" t="inlineStr">
        <is>
          <t>The lesson is that the sign has to be argued from behaviour, not picked off a keyword.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7" min="1" max="1"/>
    <col width="24" customWidth="1" style="17" min="2" max="2"/>
    <col width="96" customWidth="1" style="17" min="3" max="3"/>
  </cols>
  <sheetData>
    <row r="1" ht="30" customHeight="1" s="18">
      <c r="A1" s="21" t="inlineStr">
        <is>
          <t>position</t>
        </is>
      </c>
      <c r="B1" s="21" t="inlineStr">
        <is>
          <t>claim</t>
        </is>
      </c>
      <c r="C1" s="21" t="inlineStr">
        <is>
          <t>detail</t>
        </is>
      </c>
    </row>
    <row r="2" ht="35.05" customHeight="1" s="18">
      <c r="A2" s="23" t="inlineStr">
        <is>
          <t>The register is an astrological document</t>
        </is>
      </c>
      <c r="B2" s="23" t="n"/>
      <c r="C2" s="23" t="inlineStr">
        <is>
          <t>The Goetic spirits are traditionally assigned to the decans -- the 36 ten-degree divisions of the zodiac, two spirits to each, 72 in all. So Sargath's list of bound patrons maps onto the sky. Nobody in the present designed this; they inherited it and argue about it.</t>
        </is>
      </c>
    </row>
    <row r="3" ht="46.25" customHeight="1" s="18">
      <c r="A3" s="23" t="inlineStr">
        <is>
          <t>THE CALENDAR SCHISM</t>
        </is>
      </c>
      <c r="B3" s="23" t="n"/>
      <c r="C3" s="23" t="inlineStr">
        <is>
          <t>The sects disagree about WHEN the Venerated was born. That fixes the sign, which fixes the governing decan, which fixes which feast is kept and which spirits are properly theirs to invoke. Nobody can settle it because the records are copies of copies. This is the Easter computus fight, which really did split churches over arithmetic, and it is exactly the kind of dispute this game is about.</t>
        </is>
      </c>
    </row>
    <row r="4" ht="15" customHeight="1" s="18">
      <c r="A4" s="23" t="inlineStr">
        <is>
          <t>The Diadem / court position</t>
        </is>
      </c>
      <c r="B4" s="23" t="inlineStr">
        <is>
          <t>the Ram, spring</t>
        </is>
      </c>
      <c r="C4" s="23" t="inlineStr">
        <is>
          <t>born at the lambing; the title follows from the season, not the other way round</t>
        </is>
      </c>
    </row>
    <row r="5" ht="15" customHeight="1" s="18">
      <c r="A5" s="23" t="inlineStr">
        <is>
          <t>The Continuing Word</t>
        </is>
      </c>
      <c r="B5" s="23" t="inlineStr">
        <is>
          <t>the Vessel, winter</t>
        </is>
      </c>
      <c r="C5" s="23" t="inlineStr">
        <is>
          <t>the seer says so, and new scripture is still arriving, so the date can move</t>
        </is>
      </c>
    </row>
    <row r="6" ht="15" customHeight="1" s="18">
      <c r="A6" s="23" t="inlineStr">
        <is>
          <t>The Unstained</t>
        </is>
      </c>
      <c r="B6" s="23" t="inlineStr">
        <is>
          <t>no feast is valid</t>
        </is>
      </c>
      <c r="C6" s="23" t="inlineStr">
        <is>
          <t>any calendar kept by complicit hands is void; they observe nothing until it is re-made clean</t>
        </is>
      </c>
    </row>
    <row r="7" ht="15" customHeight="1" s="18">
      <c r="A7" s="23" t="inlineStr">
        <is>
          <t>The Company of the Road</t>
        </is>
      </c>
      <c r="B7" s="23" t="inlineStr">
        <is>
          <t>the Scales, autumn</t>
        </is>
      </c>
      <c r="C7" s="23" t="inlineStr">
        <is>
          <t>the reckoning season, when accounts are settled; convenient, and they know it</t>
        </is>
      </c>
    </row>
    <row r="8" ht="15" customHeight="1" s="18">
      <c r="A8" s="23" t="inlineStr">
        <is>
          <t>The silent</t>
        </is>
      </c>
      <c r="B8" s="23" t="inlineStr">
        <is>
          <t>(refuse to say)</t>
        </is>
      </c>
      <c r="C8" s="23" t="inlineStr">
        <is>
          <t>they are the only ones who might know</t>
        </is>
      </c>
    </row>
    <row r="9" ht="35.05" customHeight="1" s="18">
      <c r="A9" s="23" t="inlineStr">
        <is>
          <t>MECHANICAL FOOTPRINT -- keep it light</t>
        </is>
      </c>
      <c r="B9" s="23" t="n"/>
      <c r="C9" s="23" t="inlineStr">
        <is>
          <t>Each Named and each pact-holder is governed by a decan. The calendar tells you which, so certain chapters carry a soft advantage, legible from the briefing, with no new menu. The sect you side with changes which days favour you -- which is astrology doing what people actually used it for. Do not let this become a second stat system.</t>
        </is>
      </c>
    </row>
    <row r="11" ht="15" customHeight="1" s="18">
      <c r="A11" s="25" t="inlineStr">
        <is>
          <t>One dispute, five answers, no resolution. Same shape as every other question in the game.</t>
        </is>
      </c>
    </row>
    <row r="14" ht="15" customHeight="1" s="18">
      <c r="A14" s="25" t="inlineStr">
        <is>
          <t>PARTIALLY RESOLVED 2026-08-21: the WHO is now set (see guest_units.gst_anna -- Anna is the one who might know). The exact scripted beat (what the token proves, who contests it) is still not authored. Any future scene using this token must be checked against both this row and gst_anna.act3_payoff.</t>
        </is>
      </c>
    </row>
    <row r="15" ht="15" customHeight="1" s="18">
      <c r="A15" s="25" t="inlineStr">
        <is>
          <t>evidence in the calendar schism in Act 3. The specific beat -- what it proves, who contests it,</t>
        </is>
      </c>
    </row>
    <row r="16" ht="15" customHeight="1" s="18">
      <c r="A16" s="25" t="inlineStr">
        <is>
          <t>how it pays off -- is NOT YET AUTHORED. Flagging here so the dependency is visible before Act 3</t>
        </is>
      </c>
    </row>
    <row r="17" ht="15" customHeight="1" s="18">
      <c r="A17" s="25" t="inlineStr">
        <is>
          <t>chapters are drafted; a scene using this token must be checked against whatever gets decided.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6" customWidth="1" style="17" min="2" max="2"/>
    <col width="14" customWidth="1" style="17" min="3" max="3"/>
    <col width="13" customWidth="1" style="17" min="4" max="4"/>
    <col width="20" customWidth="1" style="17" min="5" max="5"/>
    <col width="52" customWidth="1" style="17" min="6" max="6"/>
    <col width="48" customWidth="1" style="17" min="7" max="7"/>
    <col width="62" customWidth="1" style="17" min="8" max="8"/>
  </cols>
  <sheetData>
    <row r="1" ht="30" customHeight="1" s="18">
      <c r="A1" s="21" t="inlineStr">
        <is>
          <t>practice_id</t>
        </is>
      </c>
      <c r="B1" s="21" t="inlineStr">
        <is>
          <t>name</t>
        </is>
      </c>
      <c r="C1" s="21" t="inlineStr">
        <is>
          <t>sect_id</t>
        </is>
      </c>
      <c r="D1" s="21" t="inlineStr">
        <is>
          <t>cadence</t>
        </is>
      </c>
      <c r="E1" s="21" t="inlineStr">
        <is>
          <t>cost</t>
        </is>
      </c>
      <c r="F1" s="21" t="inlineStr">
        <is>
          <t>what_happens</t>
        </is>
      </c>
      <c r="G1" s="21" t="inlineStr">
        <is>
          <t>what_it_claims</t>
        </is>
      </c>
      <c r="H1" s="21" t="inlineStr">
        <is>
          <t>notes</t>
        </is>
      </c>
    </row>
    <row r="2" ht="35.05" customHeight="1" s="18">
      <c r="A2" s="23" t="inlineStr">
        <is>
          <t>prc_pilgrimage</t>
        </is>
      </c>
      <c r="B2" s="23" t="inlineStr">
        <is>
          <t>The Shoulder pilgrimage</t>
        </is>
      </c>
      <c r="C2" s="23" t="inlineStr">
        <is>
          <t>sect_march</t>
        </is>
      </c>
      <c r="D2" s="23" t="inlineStr">
        <is>
          <t>annual</t>
        </is>
      </c>
      <c r="E2" s="23" t="inlineStr">
        <is>
          <t>free</t>
        </is>
      </c>
      <c r="F2" s="23" t="inlineStr">
        <is>
          <t>walk the road up to the shoulder of the peak, keep vigil, come down</t>
        </is>
      </c>
      <c r="G2" s="23" t="inlineStr">
        <is>
          <t>THE ASCENT MUST BE PERMITTED, NEVER ATTEMPTED. Nobody summits. The peak is not a destination, and daring is the sin</t>
        </is>
      </c>
      <c r="H2" s="23" t="inlineStr">
        <is>
          <t>the one thing they believe is up there is the one place their own doctrine forbids them to reach; when somebody finally goes over the top it is a SCHISM, not an adventure</t>
        </is>
      </c>
    </row>
    <row r="3" ht="46.25" customHeight="1" s="18">
      <c r="A3" s="23" t="inlineStr">
        <is>
          <t>prc_oracle</t>
        </is>
      </c>
      <c r="B3" s="23" t="inlineStr">
        <is>
          <t>The oracle of the dead</t>
        </is>
      </c>
      <c r="C3" s="23" t="inlineStr">
        <is>
          <t>sect_march</t>
        </is>
      </c>
      <c r="D3" s="23" t="inlineStr">
        <is>
          <t>continuous</t>
        </is>
      </c>
      <c r="E3" s="23" t="inlineStr">
        <is>
          <t>a fee, and a procedure</t>
        </is>
      </c>
      <c r="F3" s="23" t="inlineStr">
        <is>
          <t>a real building at the mouth of the high valley, staffed, with a waiting list; you fast, you are led down, you are permitted one question</t>
        </is>
      </c>
      <c r="G3" s="23" t="inlineStr">
        <is>
          <t>the dead are not resting, they are busy, and they can be reached at a price</t>
        </is>
      </c>
      <c r="H3" s="23" t="inlineStr">
        <is>
          <t>COMMERCIALISED RELIGION, played straight: people come from both states, including people who despise the sect, because their child died in the plague and they want to ask something. This -- not doctrine -- is how the Continuing Word gets its reach</t>
        </is>
      </c>
    </row>
    <row r="4" ht="23.85" customHeight="1" s="18">
      <c r="A4" s="23" t="inlineStr">
        <is>
          <t>prc_sky_burial</t>
        </is>
      </c>
      <c r="B4" s="23" t="inlineStr">
        <is>
          <t>The high burial</t>
        </is>
      </c>
      <c r="C4" s="23" t="inlineStr">
        <is>
          <t>sect_march</t>
        </is>
      </c>
      <c r="D4" s="23" t="inlineStr">
        <is>
          <t>as needed</t>
        </is>
      </c>
      <c r="E4" s="23" t="inlineStr">
        <is>
          <t>free</t>
        </is>
      </c>
      <c r="F4" s="23" t="inlineStr">
        <is>
          <t>the dead are left on a charnel terrace at altitude for the birds</t>
        </is>
      </c>
      <c r="G4" s="23" t="inlineStr">
        <is>
          <t>the body is a vessel; the soul has a post to get to and should not be delayed</t>
        </is>
      </c>
      <c r="H4" s="23" t="inlineStr">
        <is>
          <t>grimly practical above the treeline where the ground is frozen; also an unforgettable map</t>
        </is>
      </c>
    </row>
    <row r="5" ht="23.85" customHeight="1" s="18">
      <c r="A5" s="23" t="inlineStr">
        <is>
          <t>prc_rebaptism</t>
        </is>
      </c>
      <c r="B5" s="23" t="inlineStr">
        <is>
          <t>Enrolment of the dead</t>
        </is>
      </c>
      <c r="C5" s="23" t="inlineStr">
        <is>
          <t>sect_march</t>
        </is>
      </c>
      <c r="D5" s="23" t="inlineStr">
        <is>
          <t>continuous</t>
        </is>
      </c>
      <c r="E5" s="23" t="inlineStr">
        <is>
          <t>free</t>
        </is>
      </c>
      <c r="F5" s="23" t="inlineStr">
        <is>
          <t>the plague dead are rebaptised by name, read off the parish lists</t>
        </is>
      </c>
      <c r="G5" s="23" t="inlineStr">
        <is>
          <t>nobody is enrolled without their name being spoken</t>
        </is>
      </c>
      <c r="H5" s="23" t="inlineStr">
        <is>
          <t>puts the prophets and the crown's clerks in the same archive, for opposite reasons</t>
        </is>
      </c>
    </row>
    <row r="7" ht="15" customHeight="1" s="18">
      <c r="A7" s="25" t="inlineStr">
        <is>
          <t>Practices are how a sect touches people who do not believe it. Doctrine recruits the convinced; a staffed oracle with a fee recruits the grieving, which is a far larger market. The Greek precedent is literal: a real river, a real building at Acheron, a real procedure, an unfalsifiable claim.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17" min="1" max="1"/>
    <col width="26" customWidth="1" style="17" min="2" max="2"/>
    <col width="92" customWidth="1" style="17" min="3" max="3"/>
  </cols>
  <sheetData>
    <row r="1" ht="30" customHeight="1" s="18">
      <c r="A1" s="21" t="inlineStr">
        <is>
          <t>point</t>
        </is>
      </c>
      <c r="B1" s="21" t="inlineStr">
        <is>
          <t>status</t>
        </is>
      </c>
      <c r="C1" s="21" t="inlineStr">
        <is>
          <t>detail</t>
        </is>
      </c>
    </row>
    <row r="2" ht="15" customHeight="1" s="18">
      <c r="A2" s="23" t="inlineStr">
        <is>
          <t>The Enlightened One comes from the Company of the Road</t>
        </is>
      </c>
      <c r="B2" s="23" t="inlineStr">
        <is>
          <t>CANON, decided 2026-08-19</t>
        </is>
      </c>
      <c r="C2" s="23" t="inlineStr">
        <is>
          <t>The only sect with a state behind it, an economy, and a distribution network the player personally built in Act 1.</t>
        </is>
      </c>
    </row>
    <row r="3" ht="23.85" customHeight="1" s="18">
      <c r="A3" s="23" t="inlineStr">
        <is>
          <t>Why their doctrine and no other</t>
        </is>
      </c>
      <c r="B3" s="23" t="n"/>
      <c r="C3" s="23" t="inlineStr">
        <is>
          <t>If grace is met in exchange, a god is something that can be OFFERED rather than awaited. He is not a prophet and not a purified vessel. He is a party to a transaction, and he arrives with terms.</t>
        </is>
      </c>
    </row>
    <row r="4" ht="35.05" customHeight="1" s="18">
      <c r="A4" s="23" t="inlineStr">
        <is>
          <t>The horror is competence, and the competence is GENEROSITY</t>
        </is>
      </c>
      <c r="B4" s="23" t="n"/>
      <c r="C4" s="23" t="inlineStr">
        <is>
          <t>He is not cunning. He is not sinister about money. He is generous, at scale, on terms, and the terms are fair. He can be negotiated with -- which is worse than being unable to negotiate, because the negotiation is winnable and taking the deal is the loss.</t>
        </is>
      </c>
    </row>
    <row r="5" ht="35.05" customHeight="1" s="18">
      <c r="A5" s="23" t="inlineStr">
        <is>
          <t>He is the Company's virtue turned lethal, not a trait he happens to have</t>
        </is>
      </c>
      <c r="B5" s="23" t="n"/>
      <c r="C5" s="23" t="inlineStr">
        <is>
          <t>Ordinary factors keep behaving decently around him and go on being the people who fed a starving road. The sect is not revealed as rotten; one man takes its best idea further than it should go. If a scene would work equally well with a merchant villain of any confession, it is written wrong.</t>
        </is>
      </c>
    </row>
    <row r="6" ht="23.85" customHeight="1" s="18">
      <c r="A6" s="23" t="inlineStr">
        <is>
          <t>The one thing he cannot buy</t>
        </is>
      </c>
      <c r="B6" s="23" t="n"/>
      <c r="C6" s="23" t="inlineStr">
        <is>
          <t>The Unstained reject him on principle, because he has dealt with everyone. Purity is the only currency he does not hold, which keeps the other sects from becoming texture.</t>
        </is>
      </c>
    </row>
    <row r="7" ht="46.25" customHeight="1" s="18">
      <c r="A7" s="23" t="inlineStr">
        <is>
          <t>Economics of the Idol</t>
        </is>
      </c>
      <c r="B7" s="23" t="n"/>
      <c r="C7" s="23" t="inlineStr">
        <is>
          <t>A movement that assembles itself out of ASSUMED OBLIGATIONS is a Company operation. The golden calf and the bailout are the same object. This is also, now, the visual language shared by the PERVERSE branch of his own ending and by the Hierophant's defeat -- three different roads to the same false godhood, deliberately convergent imagery.</t>
        </is>
      </c>
    </row>
    <row r="8" ht="57.45" customHeight="1" s="18">
      <c r="A8" s="23" t="inlineStr">
        <is>
          <t>The endgame fork (superseded prior draft)</t>
        </is>
      </c>
      <c r="B8" s="23" t="inlineStr">
        <is>
          <t>RESOLVED 8/21/26</t>
        </is>
      </c>
      <c r="C8" s="23" t="inlineStr">
        <is>
          <t>his path ends in SANCTIFICATION, not death -- a hidden telemetry threshold (see ascension_signals) forks it into Sanctified (his ascension is honest, the party fights the deposed patrons resisting absorption into one new god) or Perverse (his ascension is extraction dressed as grace, the party fights him directly, visually converging with the Idol). See endings tab. Whether he ever formally 'takes the unclaimed standard' is now secondary to this -- if it happens, it should read as one more input to the hidden signal, not a separate beat.</t>
        </is>
      </c>
    </row>
    <row r="10" ht="15" customHeight="1" s="18">
      <c r="A10" s="25" t="inlineStr">
        <is>
          <t>The last big authored decision, now made. Everything else about him -- name, history, whether he believes it -- is still 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1" t="inlineStr">
        <is>
          <t>point</t>
        </is>
      </c>
      <c r="B1" s="21" t="inlineStr">
        <is>
          <t>status</t>
        </is>
      </c>
      <c r="C1" s="21" t="inlineStr">
        <is>
          <t>detail</t>
        </is>
      </c>
    </row>
    <row r="2">
      <c r="A2" s="23" t="inlineStr">
        <is>
          <t>The Hierophant's movement consolidates from sect_march</t>
        </is>
      </c>
      <c r="B2" s="23" t="inlineStr">
        <is>
          <t>CANON, decided 2026-09-23</t>
        </is>
      </c>
      <c r="C2" s="23" t="inlineStr">
        <is>
          <t>endings.end_hierophant's own trigger left this explicitly open ('sect_id: TBD -- whichever sect internally consolidates in Act 2'), the same weight of decision as 'which sect grows the Enlightened One' (see the_claimant tab). Resolved by request, grounded in text already in canon.xlsx rather than invented from nothing.</t>
        </is>
      </c>
    </row>
    <row r="3">
      <c r="A3" s="23" t="inlineStr">
        <is>
          <t>Why sect_march and no other</t>
        </is>
      </c>
      <c r="B3" s="23" t="n"/>
      <c r="C3" s="23" t="inlineStr">
        <is>
          <t>sect_march's own doctrine is RESTORATIONIST: 'everything was lost and has now been given back, whole, to a person nobody had heard of. Not a reform of the old church -- a replacement.' That is end_hierophant's own premise ('the movement forces one answer onto a five-way argument the game has kept deliberately plural') almost paraphrased. sect_road was already locked as the Enlightened One (the_claimant, 2026-08-19) -- assigning the same sect to both endgame forks would flatten the five-way plurality the whole game protects, so it was excluded on that basis alone. sect_court's 'grows the Grand Inquisitor' reads as a separate home-front thread (state/crown enforcement, 'obedience belongs to the throne'), not a claimant-prophet movement -- a different title for a different figure, not a second name for the same one. sect_vashti's doctrine is inward and defensive (re-purifying what collaboration corrupted), not the outward, totalizing 'crusade logic' end_hierophant describes.</t>
        </is>
      </c>
    </row>
    <row r="4">
      <c r="A4" s="23" t="inlineStr">
        <is>
          <t>Methodios was already most of the way there</t>
        </is>
      </c>
      <c r="B4" s="23" t="n"/>
      <c r="C4" s="23" t="inlineStr">
        <is>
          <t>npcs.npc_methodios: 'prophet; herald of the Hierophant... his preaching is the actual mechanism that produces sect consolidation; whichever sect he's embedded in is a candidate answer to the open "which sect" question on the Hierophant ending, not yet locked.' sect_march's own notes independently describe the same shape of mechanism: 'new scripture is still arriving, dictated, in progress' and 'Prophecy NPCs convert green levies' -- a prophet proselytizing new revelation IS what Methodios does. His own row is updated to reflect this.</t>
        </is>
      </c>
    </row>
    <row r="5">
      <c r="A5" s="23" t="inlineStr">
        <is>
          <t>What this resolves vs. what it doesn't</t>
        </is>
      </c>
      <c r="B5" s="23" t="n"/>
      <c r="C5" s="23" t="inlineStr">
        <is>
          <t>Resolves: sect_id on chapters ch_h31/ch_h32/ch_h33_mercy/ch_h34_war1/ch_h34_war2/ch_h34_war3 (was null), endings.end_hierophant's trigger field, npc_methodios's notes. Does NOT resolve: the Hierophant's own name/identity beyond Methodios's herald role (the_claimant's equivalent 'last big decision' entry for the Enlightened One explicitly left his name/history/beliefs open too -- same treatment here), or ascension_signals' telemetry weighting (a separate system, for the OTHER fork -- sect_road's sanctified/perverse split -- untouched by this decision).</t>
        </is>
      </c>
    </row>
  </sheetData>
  <pageMargins left="0.75" right="0.75" top="1" bottom="1" header="0.5" footer="0.5"/>
</worksheet>
</file>

<file path=xl/worksheets/sheet36.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6" customWidth="1" style="17" min="2" max="2"/>
    <col width="64" customWidth="1" style="17" min="3" max="3"/>
  </cols>
  <sheetData>
    <row r="1" ht="15" customHeight="1" s="18">
      <c r="A1" s="22" t="inlineStr">
        <is>
          <t>gap</t>
        </is>
      </c>
      <c r="B1" s="22" t="inlineStr">
        <is>
          <t>status</t>
        </is>
      </c>
      <c r="C1" s="22" t="inlineStr">
        <is>
          <t>note</t>
        </is>
      </c>
    </row>
    <row r="2" ht="15" customHeight="1" s="18">
      <c r="A2" s="23" t="inlineStr">
        <is>
          <t>brawl</t>
        </is>
      </c>
      <c r="B2" s="23" t="inlineStr">
        <is>
          <t>FILLED by Rinsa (Ash Ascetic line)</t>
        </is>
      </c>
      <c r="C2" s="23" t="inlineStr">
        <is>
          <t>the whole brawl column had nobody in it</t>
        </is>
      </c>
    </row>
    <row r="3" ht="15" customHeight="1" s="18">
      <c r="A3" s="23" t="inlineStr">
        <is>
          <t>shadow tier</t>
        </is>
      </c>
      <c r="B3" s="23" t="inlineStr">
        <is>
          <t>FILLED by u_kest</t>
        </is>
      </c>
      <c r="C3" s="23" t="inlineStr">
        <is>
          <t>see units tab; recruited via heist, not battlefield</t>
        </is>
      </c>
    </row>
    <row r="4" ht="35.05" customHeight="1" s="18">
      <c r="A4" s="23" t="inlineStr">
        <is>
          <t>riding</t>
        </is>
      </c>
      <c r="B4" s="23" t="inlineStr">
        <is>
          <t>RETIRED</t>
        </is>
      </c>
      <c r="C4" s="23" t="inlineStr">
        <is>
          <t>mounts are acquirable equipment (capture/inheritance/requisition), not a class trait -- any of the 18 can end up mounted. 'Thin riding' was a supply question the pact-and-mount system already answers, not a roster gap.</t>
        </is>
      </c>
    </row>
    <row r="5" ht="15" customHeight="1" s="18">
      <c r="A5" s="23" t="inlineStr">
        <is>
          <t>roster size</t>
        </is>
      </c>
      <c r="B5" s="23" t="inlineStr">
        <is>
          <t>18 of 18</t>
        </is>
      </c>
      <c r="C5" s="23" t="inlineStr">
        <is>
          <t>support grid complete at 153 chains ADDENDUM (2026-09-25): the validation tab's own v09 check (and canon_validate.py's c12) still compute against a 24-recruitable target and report 16 short by 8 (the 2 jagens, u_dietmar/u_torvald, are correctly excluded from 'recruitable' status). That 24 figure predates this row -- this row is the later, authoritative resolution: the design settled on 18 total units (16 recruitable + 2 jagens), full support grid, and closed the gap at that count, not 24. v09/c12 were not updated to match and will keep flagging this as open; noted here so it reads as a stale target, not a contradiction, and so nobody invents 6-8 new characters to chase a superseded number. ADDENDUM (2026-09-29): the 153-chain grid is now BUILT, not just a target -- see the supports tab, where all 153 chains are status='drafted' (10 romance-eligible with an S tier, 143 platonic/rivalry capped at A). The earlier wording above ('complete at 153 chains') was a count; it is now also true of content, at first-draft quality.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4" customWidth="1" style="17" min="2" max="3"/>
    <col width="40" customWidth="1" style="17" min="4" max="4"/>
    <col width="12" customWidth="1" style="17" min="5" max="5"/>
  </cols>
  <sheetData>
    <row r="1" ht="30" customHeight="1" s="18">
      <c r="A1" s="21" t="inlineStr">
        <is>
          <t>flag_id</t>
        </is>
      </c>
      <c r="B1" s="21" t="inlineStr">
        <is>
          <t>question</t>
        </is>
      </c>
      <c r="C1" s="21" t="inlineStr">
        <is>
          <t>allowed_values</t>
        </is>
      </c>
      <c r="D1" s="21" t="inlineStr">
        <is>
          <t>affects</t>
        </is>
      </c>
      <c r="E1" s="21" t="inlineStr">
        <is>
          <t>severity</t>
        </is>
      </c>
    </row>
    <row r="2" ht="35.05" customHeight="1" s="18">
      <c r="A2" s="23" t="inlineStr">
        <is>
          <t>flag_deaths</t>
        </is>
      </c>
      <c r="B2" s="23" t="inlineStr">
        <is>
          <t>Which of the current 18 died, and how?</t>
        </is>
      </c>
      <c r="C2" s="23" t="inlineStr">
        <is>
          <t>per-unit: alive | died_ch&lt;N&gt;_by_&lt;killed_by_type&gt;</t>
        </is>
      </c>
      <c r="D2" s="23" t="inlineStr">
        <is>
          <t>epilogue generation (see epilogue_generation tab), absence-as-content, Act 3 epithet-ledger callbacks</t>
        </is>
      </c>
      <c r="E2" s="23" t="inlineStr">
        <is>
          <t>blocking</t>
        </is>
      </c>
    </row>
    <row r="3">
      <c r="A3" s="23" t="inlineStr">
        <is>
          <t>flag_hierophant_verdict</t>
        </is>
      </c>
      <c r="B3" s="23" t="inlineStr">
        <is>
          <t>At the Kaisareia Trial (ch_h32), did the player recommend mercy or execution?</t>
        </is>
      </c>
      <c r="C3" s="23" t="inlineStr">
        <is>
          <t>mercy | execution</t>
        </is>
      </c>
      <c r="D3" s="23" t="inlineStr">
        <is>
          <t>which chapter fires next: ch_h33_mercy (Subterfuge) vs. ch_h34_war1/2/3 (The War); endings.end_hierophant_mercy vs. end_hierophant_execution</t>
        </is>
      </c>
      <c r="E3" s="23" t="inlineStr">
        <is>
          <t>blocking</t>
        </is>
      </c>
    </row>
    <row r="4" ht="15" customHeight="1" s="18"/>
    <row r="5">
      <c r="A5" s="25" t="inlineStr">
        <is>
          <t>2026-08-20: flag_route, flag_byleth, flag_claude, flag_lysithea deleted -- all four described the cut canon-input prologue (importing FE3H route/pairing/survival choices from a prior save). Each either has no successor (flag_route: the Diadem/Assembly split replaced a single winner with two exhausted co-claimants, nothing to import) or a better native successor (flag_byleth -&gt; the romantic fork at final support tier; flag_claude -&gt; paralogue access gated by which supply routes THIS run actually held; flag_lysithea -&gt; the Vashti paralogue was redesigned to stand alone). flag_deaths survives, repurposed: same id, new scope.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46" customWidth="1" style="17" min="2" max="2"/>
    <col width="12" customWidth="1" style="17" min="3" max="3"/>
    <col width="62" customWidth="1" style="17" min="4" max="4"/>
  </cols>
  <sheetData>
    <row r="1" ht="30" customHeight="1" s="18">
      <c r="A1" s="21" t="inlineStr">
        <is>
          <t>field</t>
        </is>
      </c>
      <c r="B1" s="21" t="inlineStr">
        <is>
          <t>type_or_source</t>
        </is>
      </c>
      <c r="C1" s="21" t="inlineStr">
        <is>
          <t>populated_per_death</t>
        </is>
      </c>
      <c r="D1" s="21" t="inlineStr">
        <is>
          <t>purpose</t>
        </is>
      </c>
    </row>
    <row r="2" ht="15" customHeight="1" s="18">
      <c r="A2" s="23" t="inlineStr">
        <is>
          <t>unit_id</t>
        </is>
      </c>
      <c r="B2" s="23" t="inlineStr">
        <is>
          <t>FK -&gt; units</t>
        </is>
      </c>
      <c r="C2" s="23" t="inlineStr">
        <is>
          <t>yes</t>
        </is>
      </c>
      <c r="D2" s="23" t="inlineStr">
        <is>
          <t>which of the 18</t>
        </is>
      </c>
    </row>
    <row r="3" ht="15" customHeight="1" s="18">
      <c r="A3" s="23" t="inlineStr">
        <is>
          <t>died_in_chapter_id</t>
        </is>
      </c>
      <c r="B3" s="23" t="inlineStr">
        <is>
          <t>FK -&gt; chapters</t>
        </is>
      </c>
      <c r="C3" s="23" t="inlineStr">
        <is>
          <t>yes</t>
        </is>
      </c>
      <c r="D3" s="23" t="inlineStr">
        <is>
          <t>for the location/context clause</t>
        </is>
      </c>
    </row>
    <row r="4" ht="23.85" customHeight="1" s="18">
      <c r="A4" s="23" t="inlineStr">
        <is>
          <t>killed_by_type</t>
        </is>
      </c>
      <c r="B4" s="23" t="inlineStr">
        <is>
          <t>enum: polity | named_creature | defector | boss | unknown</t>
        </is>
      </c>
      <c r="C4" s="23" t="inlineStr">
        <is>
          <t>yes</t>
        </is>
      </c>
      <c r="D4" s="23" t="inlineStr">
        <is>
          <t>faction-level per request; individual credit only for a Named, a defector, or a named chapter boss</t>
        </is>
      </c>
    </row>
    <row r="5" ht="35.05" customHeight="1" s="18">
      <c r="A5" s="23" t="inlineStr">
        <is>
          <t>killed_by_id</t>
        </is>
      </c>
      <c r="B5" s="23" t="inlineStr">
        <is>
          <t>FK, table depends on killed_by_type</t>
        </is>
      </c>
      <c r="C5" s="23" t="inlineStr">
        <is>
          <t>yes</t>
        </is>
      </c>
      <c r="D5" s="23" t="inlineStr">
        <is>
          <t>polities.polity_id / named.named_id / defections.defection_id / (boss ids TBD, chapter bosses are not yet formalised as their own entity) / null for unknown</t>
        </is>
      </c>
    </row>
    <row r="6" ht="15" customHeight="1" s="18">
      <c r="A6" s="23" t="inlineStr">
        <is>
          <t>epithets_held</t>
        </is>
      </c>
      <c r="B6" s="23" t="inlineStr">
        <is>
          <t>pipe-delimited FK list -&gt; epithets</t>
        </is>
      </c>
      <c r="C6" s="23" t="inlineStr">
        <is>
          <t>yes</t>
        </is>
      </c>
      <c r="D6" s="23" t="inlineStr">
        <is>
          <t>epithets earned before death; drives the title clause</t>
        </is>
      </c>
    </row>
    <row r="7" ht="46.25" customHeight="1" s="18">
      <c r="A7" s="23" t="inlineStr">
        <is>
          <t>weapon_carried</t>
        </is>
      </c>
      <c r="B7" s="23" t="inlineStr">
        <is>
          <t>free text, forge provenance-grammar name</t>
        </is>
      </c>
      <c r="C7" s="23" t="inlineStr">
        <is>
          <t>yes</t>
        </is>
      </c>
      <c r="D7" s="23" t="inlineStr">
        <is>
          <t>DEPENDENCY NOT YET BUILT: the forge naming grammar (blood-on-the-blade marks, reforging clears epithets) was designed across several chat sessions but never formalised into its own tab. This field assumes that tab exists; it does not yet</t>
        </is>
      </c>
    </row>
    <row r="8" ht="23.85" customHeight="1" s="18">
      <c r="A8" s="23" t="inlineStr">
        <is>
          <t>weapon_fate</t>
        </is>
      </c>
      <c r="B8" s="23" t="inlineStr">
        <is>
          <t>enum: lost_to_enemy | retrieved | thrown_and_lost | with_the_body</t>
        </is>
      </c>
      <c r="C8" s="23" t="inlineStr">
        <is>
          <t>yes</t>
        </is>
      </c>
      <c r="D8" s="23" t="inlineStr">
        <is>
          <t>same three-way logic as Named-creature material and riderless mounts -- unclaimed battlefield objects are lost at map end</t>
        </is>
      </c>
    </row>
    <row r="9" ht="15" customHeight="1" s="18">
      <c r="A9" s="23" t="inlineStr">
        <is>
          <t>support_status</t>
        </is>
      </c>
      <c r="B9" s="23" t="inlineStr">
        <is>
          <t>paired_with unit_id + tier, OR unpaired</t>
        </is>
      </c>
      <c r="C9" s="23" t="inlineStr">
        <is>
          <t>yes</t>
        </is>
      </c>
      <c r="D9" s="23" t="inlineStr">
        <is>
          <t>reads from the supports tab (153 chains, all drafted at first-draft quality -- see supports!A2 top note); drives the mourning clause. Each chain has a C/B/A summary (romance chains also S), so the clause can key on which pair survives rather than on whether prose exists.</t>
        </is>
      </c>
    </row>
    <row r="11" ht="399.75" customHeight="1" s="18">
      <c r="A11" s="31" t="inlineStr">
        <is>
          <t>NOT INSTANCE DATA. Deaths are per-playthrough runtime state, not fixed canon -- this is a SCHEMA and GRAMMAR, in the Wildermyth register: procedural text assembled from structured combat history at the moment it's needed, not hand-authored per character. 18 units with a near-complete support grid multiplies out fast, which is exactly why this has to be a generator and not a script.
ASSEMBLY GRAMMAR (four clauses, each optional except the first):
  [NAME], [TITLE CLAUSE], fell at [CHAPTER TITLE] to [KILLER CLAUSE]. [WEAPON CLAUSE]. [SUPPORT CLAUSE].
TITLE CLAUSE -- from epithets_held. Take the strongest-gated epithet (gates_paragon=yes beats gates_paragon=no) and use its forge_vocab_token: 'Slayer of the Karkadann', 'the Untouched'. No epithets held -&gt; drop the clause; the name stands alone, which is its own kind of epilogue for someone plain.
KILLER CLAUSE -- from killed_by_type/killed_by_id. polity -&gt; 'a Diadem lance' / 'an Assembly arrow' (faction, not a person). named_creature -&gt; the Named's signature verb, e.g. 'the Karkadann's charge'. defector -&gt; named directly, since a defector killing a former ally is always worth naming. boss -&gt; named directly once chapter bosses exist as an entity. unknown -&gt; 'in the chaos at [chapter], to no blade anyone could name' -- reserved for routs and unwitnessed deaths, and it should read as bleaker than a named killer, not vaguer.
WEAPON CLAUSE -- from weapon_carried + weapon_fate. lost_to_enemy -&gt; '[weapon] passed to no one' or is later found back in enemy hands (ties to the capture-supply loop). with_the_body -&gt; 'still holding [weapon]'. Absent entirely if the unit died unarmed or the field is empty.
SUPPORT CLAUSE -- from support_status. Paired -&gt; name the partner and their tier, tone keyed to whether the partnership was romantic or platonic. Unpaired -&gt; a colder line about no one at the fire being close enough to grieve properly, which should read as its own quiet indictment of a run that never built that relationship.
WORKED EXAMPLES (hypothetical illustrations of the grammar -- NOT canon events; no unit's actual fate has been decided):
  Jost, Slayer of the Karkadann, fell at the muster field to an Assembly lance. His axe passed to no one. Rinsa was not there.
  Anselm fell at the cinder track, in the chaos, to no blade anyone could name. He carried nothing worth a clause. No one at the column's fire had gotten close enough to grieve properly.
TWO DEPENDENCIES THIS SCHEMA ASSUMES AND DOES NOT YET HAVE: a formal supports tab (grid, 153 chains, completion tracking -- offered earlier, never built), and a formal forge/weapon provenance tab (the naming grammar exists in design chat, never tabulated). Both should exist before this schema is implemented against; flagging rather than building them here, since neither was asked for in this pass.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0" customWidth="1" style="18" min="1" max="1"/>
    <col width="60" customWidth="1" style="18" min="2" max="2"/>
    <col width="70" customWidth="1" style="18" min="3" max="3"/>
  </cols>
  <sheetData>
    <row r="1">
      <c r="A1" s="26" t="inlineStr">
        <is>
          <t>phrase_id</t>
        </is>
      </c>
      <c r="B1" s="26" t="inlineStr">
        <is>
          <t>text</t>
        </is>
      </c>
      <c r="C1" s="26" t="inlineStr">
        <is>
          <t>notes</t>
        </is>
      </c>
    </row>
    <row r="2">
      <c r="A2" s="17" t="inlineStr">
        <is>
          <t>epi_head</t>
        </is>
      </c>
      <c r="B2" s="17" t="inlineStr">
        <is>
          <t>{NAME}, {TITLE}, fell at {PLACE}</t>
        </is>
      </c>
      <c r="C2" s="17" t="inlineStr">
        <is>
          <t>opening clause when the unit holds an epithet</t>
        </is>
      </c>
    </row>
    <row r="3">
      <c r="A3" s="17" t="inlineStr">
        <is>
          <t>epi_head_plain</t>
        </is>
      </c>
      <c r="B3" s="17" t="inlineStr">
        <is>
          <t>{NAME} fell at {PLACE}</t>
        </is>
      </c>
      <c r="C3" s="17" t="inlineStr">
        <is>
          <t>opening clause for someone plain -- the name stands alone</t>
        </is>
      </c>
    </row>
    <row r="4">
      <c r="A4" s="17" t="inlineStr">
        <is>
          <t>epi_tail_known</t>
        </is>
      </c>
      <c r="B4" s="17" t="inlineStr">
        <is>
          <t xml:space="preserve"> to {KILLER}</t>
        </is>
      </c>
      <c r="C4" s="17" t="inlineStr">
        <is>
          <t>killer clause tail for any named or factional killer</t>
        </is>
      </c>
    </row>
    <row r="5">
      <c r="A5" s="17" t="inlineStr">
        <is>
          <t>epi_tail_unknown</t>
        </is>
      </c>
      <c r="B5" s="17" t="inlineStr">
        <is>
          <t>, in the chaos, to no blade anyone could name</t>
        </is>
      </c>
      <c r="C5" s="17" t="inlineStr">
        <is>
          <t>reserved for routs and unwitnessed deaths; bleaker than a named killer, not vaguer</t>
        </is>
      </c>
    </row>
    <row r="6">
      <c r="A6" s="17" t="inlineStr">
        <is>
          <t>epi_tail_hazard</t>
        </is>
      </c>
      <c r="B6" s="17" t="inlineStr">
        <is>
          <t xml:space="preserve"> to {HAZARD}</t>
        </is>
      </c>
      <c r="C6" s="17" t="inlineStr">
        <is>
          <t>a death with no hand in it (extension to the enum: killed_by_type hazard)</t>
        </is>
      </c>
    </row>
    <row r="7">
      <c r="A7" s="17" t="inlineStr">
        <is>
          <t>epi_hazard_cold</t>
        </is>
      </c>
      <c r="B7" s="17" t="inlineStr">
        <is>
          <t>the cold</t>
        </is>
      </c>
      <c r="C7" s="17" t="inlineStr">
        <is>
          <t>hazard names, keyed epi_hazard_&lt;id&gt;</t>
        </is>
      </c>
    </row>
    <row r="8">
      <c r="A8" s="17" t="inlineStr">
        <is>
          <t>epi_killer_polity</t>
        </is>
      </c>
      <c r="B8" s="17" t="inlineStr">
        <is>
          <t>{A} {ADJ} {NOUN}</t>
        </is>
      </c>
      <c r="C8" s="17" t="inlineStr">
        <is>
          <t>faction, not a person: a Diadem lance, an Assembly arrow</t>
        </is>
      </c>
    </row>
    <row r="9">
      <c r="A9" s="17" t="inlineStr">
        <is>
          <t>epi_killer_band</t>
        </is>
      </c>
      <c r="B9" s="17" t="inlineStr">
        <is>
          <t>{A} {WHO}'s {NOUN}</t>
        </is>
      </c>
      <c r="C9" s="17" t="inlineStr">
        <is>
          <t>an unaffiliated armed band, or a soldier whose map names no polity (extension: killed_by_type band)</t>
        </is>
      </c>
    </row>
    <row r="10">
      <c r="A10" s="17" t="inlineStr">
        <is>
          <t>epi_killer_named</t>
        </is>
      </c>
      <c r="B10" s="17" t="inlineStr">
        <is>
          <t>{PHRASE}</t>
        </is>
      </c>
      <c r="C10" s="17" t="inlineStr">
        <is>
          <t>the Named creature signature verb (named.death_phrase)</t>
        </is>
      </c>
    </row>
    <row r="11">
      <c r="A11" s="17" t="inlineStr">
        <is>
          <t>epi_killer_defector</t>
        </is>
      </c>
      <c r="B11" s="17" t="inlineStr">
        <is>
          <t>{DEFECTOR}</t>
        </is>
      </c>
      <c r="C11" s="17" t="inlineStr">
        <is>
          <t>a defector is named directly</t>
        </is>
      </c>
    </row>
    <row r="12">
      <c r="A12" s="17" t="inlineStr">
        <is>
          <t>epi_killer_boss</t>
        </is>
      </c>
      <c r="B12" s="17" t="inlineStr">
        <is>
          <t>{BOSS}</t>
        </is>
      </c>
      <c r="C12" s="17" t="inlineStr">
        <is>
          <t>a chapter boss is named directly</t>
        </is>
      </c>
    </row>
    <row r="13">
      <c r="A13" s="17" t="inlineStr">
        <is>
          <t>epi_title_slayer_of</t>
        </is>
      </c>
      <c r="B13" s="17" t="inlineStr">
        <is>
          <t>{TOKEN} {OBJECT}</t>
        </is>
      </c>
      <c r="C13" s="17" t="inlineStr">
        <is>
          <t>forge_vocab_token ending in "of" takes the thing slain</t>
        </is>
      </c>
    </row>
    <row r="14">
      <c r="A14" s="17" t="inlineStr">
        <is>
          <t>epi_title_slayer_fallback</t>
        </is>
      </c>
      <c r="B14" s="17" t="inlineStr">
        <is>
          <t>the Slayer</t>
        </is>
      </c>
      <c r="C14" s="17" t="inlineStr">
        <is>
          <t>when the deed was earned but the quarry was not recorded</t>
        </is>
      </c>
    </row>
    <row r="15">
      <c r="A15" s="17" t="inlineStr">
        <is>
          <t>epi_title_the</t>
        </is>
      </c>
      <c r="B15" s="17" t="inlineStr">
        <is>
          <t>the {TOKEN}</t>
        </is>
      </c>
      <c r="C15" s="17" t="inlineStr">
        <is>
          <t>a bare forge_vocab_token: the Untouched</t>
        </is>
      </c>
    </row>
    <row r="16">
      <c r="A16" s="17" t="inlineStr">
        <is>
          <t>epi_weapon_lost_to_enemy</t>
        </is>
      </c>
      <c r="B16" s="17" t="inlineStr">
        <is>
          <t>The {WEAPON} passed to no one.</t>
        </is>
      </c>
      <c r="C16" s="17" t="inlineStr">
        <is>
          <t>weapon_fate lost_to_enemy</t>
        </is>
      </c>
    </row>
    <row r="17">
      <c r="A17" s="17" t="inlineStr">
        <is>
          <t>epi_weapon_retrieved</t>
        </is>
      </c>
      <c r="B17" s="17" t="inlineStr">
        <is>
          <t>The {WEAPON} came home in the convoy.</t>
        </is>
      </c>
      <c r="C17" s="17" t="inlineStr">
        <is>
          <t>weapon_fate retrieved</t>
        </is>
      </c>
    </row>
    <row r="18">
      <c r="A18" s="17" t="inlineStr">
        <is>
          <t>epi_weapon_thrown_and_lost</t>
        </is>
      </c>
      <c r="B18" s="17" t="inlineStr">
        <is>
          <t>The {WEAPON} was thrown, and not found again.</t>
        </is>
      </c>
      <c r="C18" s="17" t="inlineStr">
        <is>
          <t>weapon_fate thrown_and_lost</t>
        </is>
      </c>
    </row>
    <row r="19">
      <c r="A19" s="17" t="inlineStr">
        <is>
          <t>epi_weapon_with_the_body</t>
        </is>
      </c>
      <c r="B19" s="17" t="inlineStr">
        <is>
          <t>{NAME} was buried still holding the {WEAPON}.</t>
        </is>
      </c>
      <c r="C19" s="17" t="inlineStr">
        <is>
          <t>weapon_fate with_the_body</t>
        </is>
      </c>
    </row>
    <row r="20">
      <c r="A20" s="17" t="inlineStr">
        <is>
          <t>epi_support_platonic_C</t>
        </is>
      </c>
      <c r="B20" s="17" t="inlineStr">
        <is>
          <t>{PARTNER} knew {NAME} only a little, and said so.</t>
        </is>
      </c>
      <c r="C20" s="17" t="inlineStr">
        <is>
          <t>platonic, tier C</t>
        </is>
      </c>
    </row>
    <row r="21">
      <c r="A21" s="17" t="inlineStr">
        <is>
          <t>epi_support_platonic_B</t>
        </is>
      </c>
      <c r="B21" s="17" t="inlineStr">
        <is>
          <t>{PARTNER} kept {NAME}'s watch that night.</t>
        </is>
      </c>
      <c r="C21" s="17" t="inlineStr">
        <is>
          <t>platonic, tier B</t>
        </is>
      </c>
    </row>
    <row r="22">
      <c r="A22" s="17" t="inlineStr">
        <is>
          <t>epi_support_platonic_A</t>
        </is>
      </c>
      <c r="B22" s="17" t="inlineStr">
        <is>
          <t>{PARTNER} carried {NAME}'s name into every fight after.</t>
        </is>
      </c>
      <c r="C22" s="17" t="inlineStr">
        <is>
          <t>platonic, tier A</t>
        </is>
      </c>
    </row>
    <row r="23">
      <c r="A23" s="17" t="inlineStr">
        <is>
          <t>epi_support_romantic_C</t>
        </is>
      </c>
      <c r="B23" s="17" t="inlineStr">
        <is>
          <t>{PARTNER} had meant to say something, and did not.</t>
        </is>
      </c>
      <c r="C23" s="17" t="inlineStr">
        <is>
          <t>romantic, tier C</t>
        </is>
      </c>
    </row>
    <row r="24">
      <c r="A24" s="17" t="inlineStr">
        <is>
          <t>epi_support_romantic_B</t>
        </is>
      </c>
      <c r="B24" s="17" t="inlineStr">
        <is>
          <t>{PARTNER} sat with the body until morning.</t>
        </is>
      </c>
      <c r="C24" s="17" t="inlineStr">
        <is>
          <t>romantic, tier B</t>
        </is>
      </c>
    </row>
    <row r="25">
      <c r="A25" s="17" t="inlineStr">
        <is>
          <t>epi_support_romantic_A</t>
        </is>
      </c>
      <c r="B25" s="17" t="inlineStr">
        <is>
          <t>{PARTNER} would not speak of it.</t>
        </is>
      </c>
      <c r="C25" s="17" t="inlineStr">
        <is>
          <t>romantic, tier A</t>
        </is>
      </c>
    </row>
    <row r="26">
      <c r="A26" s="17" t="inlineStr">
        <is>
          <t>epi_support_romantic_S</t>
        </is>
      </c>
      <c r="B26" s="17" t="inlineStr">
        <is>
          <t>{PARTNER} stayed on the field until someone made them leave.</t>
        </is>
      </c>
      <c r="C26" s="17" t="inlineStr">
        <is>
          <t>romantic, tier S</t>
        </is>
      </c>
    </row>
    <row r="27">
      <c r="A27" s="17" t="inlineStr">
        <is>
          <t>epi_support_gone</t>
        </is>
      </c>
      <c r="B27" s="17" t="inlineStr">
        <is>
          <t>{PARTNER} was gone from the company by then.</t>
        </is>
      </c>
      <c r="C27" s="17" t="inlineStr">
        <is>
          <t>the partner had defected or departed</t>
        </is>
      </c>
    </row>
    <row r="28">
      <c r="A28" s="17" t="inlineStr">
        <is>
          <t>epi_support_fallen_before</t>
        </is>
      </c>
      <c r="B28" s="17" t="inlineStr">
        <is>
          <t>{PARTNER} had fallen already, and there was no one left to grieve.</t>
        </is>
      </c>
      <c r="C28" s="17" t="inlineStr">
        <is>
          <t>the partner died earlier</t>
        </is>
      </c>
    </row>
    <row r="29">
      <c r="A29" s="17" t="inlineStr">
        <is>
          <t>epi_support_fallen_after</t>
        </is>
      </c>
      <c r="B29" s="17" t="inlineStr">
        <is>
          <t>{PARTNER} did not outlive the war either.</t>
        </is>
      </c>
      <c r="C29" s="17" t="inlineStr">
        <is>
          <t>the partner died later</t>
        </is>
      </c>
    </row>
    <row r="30">
      <c r="A30" s="17" t="inlineStr">
        <is>
          <t>epi_support_alone</t>
        </is>
      </c>
      <c r="B30" s="17" t="inlineStr">
        <is>
          <t>No one at the fire was close enough to grieve properly.</t>
        </is>
      </c>
      <c r="C30" s="17" t="inlineStr">
        <is>
          <t>unpaired: a quiet indictment of a run that never built the relationship</t>
        </is>
      </c>
    </row>
    <row r="31">
      <c r="A31" s="17" t="inlineStr">
        <is>
          <t>epi_roll_title</t>
        </is>
      </c>
      <c r="B31" s="17" t="inlineStr">
        <is>
          <t>The Fallen</t>
        </is>
      </c>
      <c r="C31" s="17" t="inlineStr">
        <is>
          <t>heading of the fallen roll</t>
        </is>
      </c>
    </row>
    <row r="32">
      <c r="A32" s="17" t="inlineStr">
        <is>
          <t>epi_roll_empty</t>
        </is>
      </c>
      <c r="B32" s="17" t="inlineStr">
        <is>
          <t>No one has fallen. Yet.</t>
        </is>
      </c>
      <c r="C32" s="17" t="inlineStr">
        <is>
          <t>the roll when it is empty</t>
        </is>
      </c>
    </row>
    <row r="34">
      <c r="A34" s="17" t="inlineStr">
        <is>
          <t>IMPLEMENTATION NOTES (2026-10-09). The text of epilogue_generation, built as scripts/epilogue.gd. Wording is DRAFT; placeholders in {BRACES} are filled by the generator, and {A} becomes 'a' or 'an' by the word after it. No line uses a pronoun for the fallen or the partner -- they/them is avoided by naming. TWO EXTENSIONS to the killed_by_type enum, which the original schema did not list: 'band' (an unaffiliated armed band -- looters, relic hunters, privateers, or a soldier on a map that names no polity) and 'hazard' (a death with no hand in it: the cold on map_a03). maps.enemy_polity_id is a DRAFT: state-affiliated enemies belong to the polity opposite the chapter's route (a Diadem-route map fields Assembly soldiers); both-route maps name none, so those soldiers read as a band. Tune it map by map. ADDENDUM (2026-10-20): {WEAPON} is the weapon's provenance name (epithets.weapon_form), which may already read as a possessive ("Taker's Iron Axe"), so the weapon lines say 'The {WEAPON}' rather than '{NAME}'s {WEAPON}'.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16" customWidth="1" style="18" min="1" max="1"/>
    <col width="16" customWidth="1" style="18" min="2" max="2"/>
    <col width="8" customWidth="1" style="18" min="3" max="3"/>
    <col width="8" customWidth="1" style="18" min="4" max="4"/>
    <col width="6" customWidth="1" style="18" min="5" max="5"/>
    <col width="5" customWidth="1" style="18" min="6" max="6"/>
    <col width="5" customWidth="1" style="18" min="7" max="7"/>
    <col width="7" customWidth="1" style="18" min="8" max="8"/>
    <col width="6" customWidth="1" style="18" min="9" max="9"/>
    <col width="10" customWidth="1" style="18" min="10" max="10"/>
    <col width="10" customWidth="1" style="18" min="11" max="11"/>
    <col width="40" customWidth="1" style="18" min="12" max="12"/>
    <col width="14" customWidth="1" style="18" min="13" max="13"/>
    <col width="14" customWidth="1" style="18" min="14" max="14"/>
    <col width="12" customWidth="1" style="18" min="15" max="15"/>
    <col width="16" customWidth="1" style="18" min="16" max="16"/>
  </cols>
  <sheetData>
    <row r="1">
      <c r="A1" s="26" t="inlineStr">
        <is>
          <t>weapon_id</t>
        </is>
      </c>
      <c r="B1" s="26" t="inlineStr">
        <is>
          <t>name</t>
        </is>
      </c>
      <c r="C1" s="26" t="inlineStr">
        <is>
          <t>art</t>
        </is>
      </c>
      <c r="D1" s="26" t="inlineStr">
        <is>
          <t>tier</t>
        </is>
      </c>
      <c r="E1" s="26" t="inlineStr">
        <is>
          <t>might</t>
        </is>
      </c>
      <c r="F1" s="26" t="inlineStr">
        <is>
          <t>hit</t>
        </is>
      </c>
      <c r="G1" s="26" t="inlineStr">
        <is>
          <t>crit</t>
        </is>
      </c>
      <c r="H1" s="26" t="inlineStr">
        <is>
          <t>weight</t>
        </is>
      </c>
      <c r="I1" s="26" t="inlineStr">
        <is>
          <t>uses</t>
        </is>
      </c>
      <c r="J1" s="26" t="inlineStr">
        <is>
          <t>range_min</t>
        </is>
      </c>
      <c r="K1" s="26" t="inlineStr">
        <is>
          <t>range_max</t>
        </is>
      </c>
      <c r="L1" s="26" t="inlineStr">
        <is>
          <t>notes</t>
        </is>
      </c>
      <c r="M1" s="26" t="inlineStr">
        <is>
          <t>req_arts</t>
        </is>
      </c>
      <c r="N1" s="26" t="inlineStr">
        <is>
          <t>effective_vs</t>
        </is>
      </c>
      <c r="O1" s="26" t="inlineStr">
        <is>
          <t>convoy_qty</t>
        </is>
      </c>
      <c r="P1" s="26" t="inlineStr">
        <is>
          <t>effect</t>
        </is>
      </c>
    </row>
    <row r="2">
      <c r="A2" s="17" t="inlineStr">
        <is>
          <t>wpn_sword_basic</t>
        </is>
      </c>
      <c r="B2" s="17" t="inlineStr">
        <is>
          <t>Iron Sword</t>
        </is>
      </c>
      <c r="C2" s="17" t="inlineStr">
        <is>
          <t>sword</t>
        </is>
      </c>
      <c r="D2" s="17" t="inlineStr">
        <is>
          <t>basic</t>
        </is>
      </c>
      <c r="E2" s="17" t="n">
        <v>5</v>
      </c>
      <c r="F2" s="17" t="n">
        <v>90</v>
      </c>
      <c r="G2" s="17" t="n">
        <v>0</v>
      </c>
      <c r="H2" s="17" t="n">
        <v>5</v>
      </c>
      <c r="I2" s="17" t="n">
        <v>45</v>
      </c>
      <c r="J2" s="17" t="n">
        <v>1</v>
      </c>
      <c r="K2" s="17" t="n">
        <v>1</v>
      </c>
      <c r="O2" s="17" t="n">
        <v>0</v>
      </c>
    </row>
    <row r="3">
      <c r="A3" s="17" t="inlineStr">
        <is>
          <t>wpn_sword_mid</t>
        </is>
      </c>
      <c r="B3" s="17" t="inlineStr">
        <is>
          <t>Steel Sword</t>
        </is>
      </c>
      <c r="C3" s="17" t="inlineStr">
        <is>
          <t>sword</t>
        </is>
      </c>
      <c r="D3" s="17" t="inlineStr">
        <is>
          <t>mid</t>
        </is>
      </c>
      <c r="E3" s="17" t="n">
        <v>8</v>
      </c>
      <c r="F3" s="17" t="n">
        <v>80</v>
      </c>
      <c r="G3" s="17" t="n">
        <v>5</v>
      </c>
      <c r="H3" s="17" t="n">
        <v>8</v>
      </c>
      <c r="I3" s="17" t="n">
        <v>30</v>
      </c>
      <c r="J3" s="17" t="n">
        <v>1</v>
      </c>
      <c r="K3" s="17" t="n">
        <v>1</v>
      </c>
      <c r="O3" s="17" t="n">
        <v>1</v>
      </c>
    </row>
    <row r="4">
      <c r="A4" s="17" t="inlineStr">
        <is>
          <t>wpn_sword_high</t>
        </is>
      </c>
      <c r="B4" s="17" t="inlineStr">
        <is>
          <t>Silver Sword</t>
        </is>
      </c>
      <c r="C4" s="17" t="inlineStr">
        <is>
          <t>sword</t>
        </is>
      </c>
      <c r="D4" s="17" t="inlineStr">
        <is>
          <t>high</t>
        </is>
      </c>
      <c r="E4" s="17" t="n">
        <v>13</v>
      </c>
      <c r="F4" s="17" t="n">
        <v>75</v>
      </c>
      <c r="G4" s="17" t="n">
        <v>10</v>
      </c>
      <c r="H4" s="17" t="n">
        <v>10</v>
      </c>
      <c r="I4" s="17" t="n">
        <v>20</v>
      </c>
      <c r="J4" s="17" t="n">
        <v>1</v>
      </c>
      <c r="K4" s="17" t="n">
        <v>1</v>
      </c>
      <c r="O4" s="17" t="n">
        <v>0</v>
      </c>
    </row>
    <row r="5">
      <c r="A5" s="17" t="inlineStr">
        <is>
          <t>wpn_lance_basic</t>
        </is>
      </c>
      <c r="B5" s="17" t="inlineStr">
        <is>
          <t>Iron Lance</t>
        </is>
      </c>
      <c r="C5" s="17" t="inlineStr">
        <is>
          <t>lance</t>
        </is>
      </c>
      <c r="D5" s="17" t="inlineStr">
        <is>
          <t>basic</t>
        </is>
      </c>
      <c r="E5" s="17" t="n">
        <v>5</v>
      </c>
      <c r="F5" s="17" t="n">
        <v>90</v>
      </c>
      <c r="G5" s="17" t="n">
        <v>0</v>
      </c>
      <c r="H5" s="17" t="n">
        <v>5</v>
      </c>
      <c r="I5" s="17" t="n">
        <v>45</v>
      </c>
      <c r="J5" s="17" t="n">
        <v>1</v>
      </c>
      <c r="K5" s="17" t="n">
        <v>1</v>
      </c>
      <c r="O5" s="17" t="n">
        <v>0</v>
      </c>
    </row>
    <row r="6">
      <c r="A6" s="17" t="inlineStr">
        <is>
          <t>wpn_lance_mid</t>
        </is>
      </c>
      <c r="B6" s="17" t="inlineStr">
        <is>
          <t>Steel Lance</t>
        </is>
      </c>
      <c r="C6" s="17" t="inlineStr">
        <is>
          <t>lance</t>
        </is>
      </c>
      <c r="D6" s="17" t="inlineStr">
        <is>
          <t>mid</t>
        </is>
      </c>
      <c r="E6" s="17" t="n">
        <v>8</v>
      </c>
      <c r="F6" s="17" t="n">
        <v>80</v>
      </c>
      <c r="G6" s="17" t="n">
        <v>5</v>
      </c>
      <c r="H6" s="17" t="n">
        <v>8</v>
      </c>
      <c r="I6" s="17" t="n">
        <v>30</v>
      </c>
      <c r="J6" s="17" t="n">
        <v>1</v>
      </c>
      <c r="K6" s="17" t="n">
        <v>1</v>
      </c>
      <c r="O6" s="17" t="n">
        <v>1</v>
      </c>
    </row>
    <row r="7">
      <c r="A7" s="17" t="inlineStr">
        <is>
          <t>wpn_lance_high</t>
        </is>
      </c>
      <c r="B7" s="17" t="inlineStr">
        <is>
          <t>Silver Lance</t>
        </is>
      </c>
      <c r="C7" s="17" t="inlineStr">
        <is>
          <t>lance</t>
        </is>
      </c>
      <c r="D7" s="17" t="inlineStr">
        <is>
          <t>high</t>
        </is>
      </c>
      <c r="E7" s="17" t="n">
        <v>13</v>
      </c>
      <c r="F7" s="17" t="n">
        <v>75</v>
      </c>
      <c r="G7" s="17" t="n">
        <v>10</v>
      </c>
      <c r="H7" s="17" t="n">
        <v>10</v>
      </c>
      <c r="I7" s="17" t="n">
        <v>20</v>
      </c>
      <c r="J7" s="17" t="n">
        <v>1</v>
      </c>
      <c r="K7" s="17" t="n">
        <v>1</v>
      </c>
      <c r="O7" s="17" t="n">
        <v>0</v>
      </c>
    </row>
    <row r="8">
      <c r="A8" s="17" t="inlineStr">
        <is>
          <t>wpn_axe_basic</t>
        </is>
      </c>
      <c r="B8" s="17" t="inlineStr">
        <is>
          <t>Iron Axe</t>
        </is>
      </c>
      <c r="C8" s="17" t="inlineStr">
        <is>
          <t>axe</t>
        </is>
      </c>
      <c r="D8" s="17" t="inlineStr">
        <is>
          <t>basic</t>
        </is>
      </c>
      <c r="E8" s="17" t="n">
        <v>5</v>
      </c>
      <c r="F8" s="17" t="n">
        <v>90</v>
      </c>
      <c r="G8" s="17" t="n">
        <v>0</v>
      </c>
      <c r="H8" s="17" t="n">
        <v>5</v>
      </c>
      <c r="I8" s="17" t="n">
        <v>45</v>
      </c>
      <c r="J8" s="17" t="n">
        <v>1</v>
      </c>
      <c r="K8" s="17" t="n">
        <v>1</v>
      </c>
      <c r="O8" s="17" t="n">
        <v>0</v>
      </c>
    </row>
    <row r="9">
      <c r="A9" s="17" t="inlineStr">
        <is>
          <t>wpn_axe_mid</t>
        </is>
      </c>
      <c r="B9" s="17" t="inlineStr">
        <is>
          <t>Steel Axe</t>
        </is>
      </c>
      <c r="C9" s="17" t="inlineStr">
        <is>
          <t>axe</t>
        </is>
      </c>
      <c r="D9" s="17" t="inlineStr">
        <is>
          <t>mid</t>
        </is>
      </c>
      <c r="E9" s="17" t="n">
        <v>8</v>
      </c>
      <c r="F9" s="17" t="n">
        <v>80</v>
      </c>
      <c r="G9" s="17" t="n">
        <v>5</v>
      </c>
      <c r="H9" s="17" t="n">
        <v>8</v>
      </c>
      <c r="I9" s="17" t="n">
        <v>30</v>
      </c>
      <c r="J9" s="17" t="n">
        <v>1</v>
      </c>
      <c r="K9" s="17" t="n">
        <v>1</v>
      </c>
      <c r="O9" s="17" t="n">
        <v>1</v>
      </c>
    </row>
    <row r="10">
      <c r="A10" s="17" t="inlineStr">
        <is>
          <t>wpn_axe_high</t>
        </is>
      </c>
      <c r="B10" s="17" t="inlineStr">
        <is>
          <t>Silver Axe</t>
        </is>
      </c>
      <c r="C10" s="17" t="inlineStr">
        <is>
          <t>axe</t>
        </is>
      </c>
      <c r="D10" s="17" t="inlineStr">
        <is>
          <t>high</t>
        </is>
      </c>
      <c r="E10" s="17" t="n">
        <v>13</v>
      </c>
      <c r="F10" s="17" t="n">
        <v>75</v>
      </c>
      <c r="G10" s="17" t="n">
        <v>10</v>
      </c>
      <c r="H10" s="17" t="n">
        <v>10</v>
      </c>
      <c r="I10" s="17" t="n">
        <v>20</v>
      </c>
      <c r="J10" s="17" t="n">
        <v>1</v>
      </c>
      <c r="K10" s="17" t="n">
        <v>1</v>
      </c>
      <c r="O10" s="17" t="n">
        <v>0</v>
      </c>
    </row>
    <row r="11">
      <c r="A11" s="17" t="inlineStr">
        <is>
          <t>wpn_bow_basic</t>
        </is>
      </c>
      <c r="B11" s="17" t="inlineStr">
        <is>
          <t>Iron Bow</t>
        </is>
      </c>
      <c r="C11" s="17" t="inlineStr">
        <is>
          <t>bow</t>
        </is>
      </c>
      <c r="D11" s="17" t="inlineStr">
        <is>
          <t>basic</t>
        </is>
      </c>
      <c r="E11" s="17" t="n">
        <v>5</v>
      </c>
      <c r="F11" s="17" t="n">
        <v>90</v>
      </c>
      <c r="G11" s="17" t="n">
        <v>0</v>
      </c>
      <c r="H11" s="17" t="n">
        <v>5</v>
      </c>
      <c r="I11" s="17" t="n">
        <v>45</v>
      </c>
      <c r="J11" s="17" t="n">
        <v>2</v>
      </c>
      <c r="K11" s="17" t="n">
        <v>2</v>
      </c>
      <c r="O11" s="17" t="n">
        <v>0</v>
      </c>
    </row>
    <row r="12">
      <c r="A12" s="17" t="inlineStr">
        <is>
          <t>wpn_bow_mid</t>
        </is>
      </c>
      <c r="B12" s="17" t="inlineStr">
        <is>
          <t>Steel Bow</t>
        </is>
      </c>
      <c r="C12" s="17" t="inlineStr">
        <is>
          <t>bow</t>
        </is>
      </c>
      <c r="D12" s="17" t="inlineStr">
        <is>
          <t>mid</t>
        </is>
      </c>
      <c r="E12" s="17" t="n">
        <v>8</v>
      </c>
      <c r="F12" s="17" t="n">
        <v>80</v>
      </c>
      <c r="G12" s="17" t="n">
        <v>5</v>
      </c>
      <c r="H12" s="17" t="n">
        <v>8</v>
      </c>
      <c r="I12" s="17" t="n">
        <v>30</v>
      </c>
      <c r="J12" s="17" t="n">
        <v>2</v>
      </c>
      <c r="K12" s="17" t="n">
        <v>2</v>
      </c>
      <c r="O12" s="17" t="n">
        <v>1</v>
      </c>
    </row>
    <row r="13">
      <c r="A13" s="17" t="inlineStr">
        <is>
          <t>wpn_bow_high</t>
        </is>
      </c>
      <c r="B13" s="17" t="inlineStr">
        <is>
          <t>Silver Bow</t>
        </is>
      </c>
      <c r="C13" s="17" t="inlineStr">
        <is>
          <t>bow</t>
        </is>
      </c>
      <c r="D13" s="17" t="inlineStr">
        <is>
          <t>high</t>
        </is>
      </c>
      <c r="E13" s="17" t="n">
        <v>13</v>
      </c>
      <c r="F13" s="17" t="n">
        <v>75</v>
      </c>
      <c r="G13" s="17" t="n">
        <v>10</v>
      </c>
      <c r="H13" s="17" t="n">
        <v>10</v>
      </c>
      <c r="I13" s="17" t="n">
        <v>20</v>
      </c>
      <c r="J13" s="17" t="n">
        <v>2</v>
      </c>
      <c r="K13" s="17" t="n">
        <v>2</v>
      </c>
      <c r="O13" s="17" t="n">
        <v>0</v>
      </c>
    </row>
    <row r="14">
      <c r="A14" s="17" t="inlineStr">
        <is>
          <t>wpn_brawl_basic</t>
        </is>
      </c>
      <c r="B14" s="17" t="inlineStr">
        <is>
          <t>Iron Gauntlet</t>
        </is>
      </c>
      <c r="C14" s="17" t="inlineStr">
        <is>
          <t>brawl</t>
        </is>
      </c>
      <c r="D14" s="17" t="inlineStr">
        <is>
          <t>basic</t>
        </is>
      </c>
      <c r="E14" s="17" t="n">
        <v>5</v>
      </c>
      <c r="F14" s="17" t="n">
        <v>90</v>
      </c>
      <c r="G14" s="17" t="n">
        <v>0</v>
      </c>
      <c r="H14" s="17" t="n">
        <v>5</v>
      </c>
      <c r="I14" s="17" t="n">
        <v>45</v>
      </c>
      <c r="J14" s="17" t="n">
        <v>1</v>
      </c>
      <c r="K14" s="17" t="n">
        <v>1</v>
      </c>
      <c r="O14" s="17" t="n">
        <v>0</v>
      </c>
    </row>
    <row r="15">
      <c r="A15" s="17" t="inlineStr">
        <is>
          <t>wpn_brawl_mid</t>
        </is>
      </c>
      <c r="B15" s="17" t="inlineStr">
        <is>
          <t>Steel Gauntlet</t>
        </is>
      </c>
      <c r="C15" s="17" t="inlineStr">
        <is>
          <t>brawl</t>
        </is>
      </c>
      <c r="D15" s="17" t="inlineStr">
        <is>
          <t>mid</t>
        </is>
      </c>
      <c r="E15" s="17" t="n">
        <v>8</v>
      </c>
      <c r="F15" s="17" t="n">
        <v>80</v>
      </c>
      <c r="G15" s="17" t="n">
        <v>5</v>
      </c>
      <c r="H15" s="17" t="n">
        <v>8</v>
      </c>
      <c r="I15" s="17" t="n">
        <v>30</v>
      </c>
      <c r="J15" s="17" t="n">
        <v>1</v>
      </c>
      <c r="K15" s="17" t="n">
        <v>1</v>
      </c>
      <c r="O15" s="17" t="n">
        <v>1</v>
      </c>
    </row>
    <row r="16">
      <c r="A16" s="17" t="inlineStr">
        <is>
          <t>wpn_brawl_high</t>
        </is>
      </c>
      <c r="B16" s="17" t="inlineStr">
        <is>
          <t>Silver Gauntlet</t>
        </is>
      </c>
      <c r="C16" s="17" t="inlineStr">
        <is>
          <t>brawl</t>
        </is>
      </c>
      <c r="D16" s="17" t="inlineStr">
        <is>
          <t>high</t>
        </is>
      </c>
      <c r="E16" s="17" t="n">
        <v>13</v>
      </c>
      <c r="F16" s="17" t="n">
        <v>75</v>
      </c>
      <c r="G16" s="17" t="n">
        <v>10</v>
      </c>
      <c r="H16" s="17" t="n">
        <v>10</v>
      </c>
      <c r="I16" s="17" t="n">
        <v>20</v>
      </c>
      <c r="J16" s="17" t="n">
        <v>1</v>
      </c>
      <c r="K16" s="17" t="n">
        <v>1</v>
      </c>
      <c r="O16" s="17" t="n">
        <v>0</v>
      </c>
    </row>
    <row r="17">
      <c r="A17" s="17" t="inlineStr">
        <is>
          <t>wpn_reason_basic</t>
        </is>
      </c>
      <c r="B17" s="17" t="inlineStr">
        <is>
          <t>Iron Tome</t>
        </is>
      </c>
      <c r="C17" s="17" t="inlineStr">
        <is>
          <t>reason</t>
        </is>
      </c>
      <c r="D17" s="17" t="inlineStr">
        <is>
          <t>basic</t>
        </is>
      </c>
      <c r="E17" s="17" t="n">
        <v>5</v>
      </c>
      <c r="F17" s="17" t="n">
        <v>90</v>
      </c>
      <c r="G17" s="17" t="n">
        <v>0</v>
      </c>
      <c r="H17" s="17" t="n">
        <v>5</v>
      </c>
      <c r="I17" s="17" t="n">
        <v>45</v>
      </c>
      <c r="J17" s="17" t="n">
        <v>1</v>
      </c>
      <c r="K17" s="17" t="n">
        <v>2</v>
      </c>
      <c r="O17" s="17" t="n">
        <v>0</v>
      </c>
    </row>
    <row r="18">
      <c r="A18" s="17" t="inlineStr">
        <is>
          <t>wpn_reason_mid</t>
        </is>
      </c>
      <c r="B18" s="17" t="inlineStr">
        <is>
          <t>Steel Tome</t>
        </is>
      </c>
      <c r="C18" s="17" t="inlineStr">
        <is>
          <t>reason</t>
        </is>
      </c>
      <c r="D18" s="17" t="inlineStr">
        <is>
          <t>mid</t>
        </is>
      </c>
      <c r="E18" s="17" t="n">
        <v>8</v>
      </c>
      <c r="F18" s="17" t="n">
        <v>80</v>
      </c>
      <c r="G18" s="17" t="n">
        <v>5</v>
      </c>
      <c r="H18" s="17" t="n">
        <v>8</v>
      </c>
      <c r="I18" s="17" t="n">
        <v>30</v>
      </c>
      <c r="J18" s="17" t="n">
        <v>1</v>
      </c>
      <c r="K18" s="17" t="n">
        <v>2</v>
      </c>
      <c r="O18" s="17" t="n">
        <v>1</v>
      </c>
    </row>
    <row r="19">
      <c r="A19" s="17" t="inlineStr">
        <is>
          <t>wpn_reason_high</t>
        </is>
      </c>
      <c r="B19" s="17" t="inlineStr">
        <is>
          <t>Silver Tome</t>
        </is>
      </c>
      <c r="C19" s="17" t="inlineStr">
        <is>
          <t>reason</t>
        </is>
      </c>
      <c r="D19" s="17" t="inlineStr">
        <is>
          <t>high</t>
        </is>
      </c>
      <c r="E19" s="17" t="n">
        <v>13</v>
      </c>
      <c r="F19" s="17" t="n">
        <v>75</v>
      </c>
      <c r="G19" s="17" t="n">
        <v>10</v>
      </c>
      <c r="H19" s="17" t="n">
        <v>10</v>
      </c>
      <c r="I19" s="17" t="n">
        <v>20</v>
      </c>
      <c r="J19" s="17" t="n">
        <v>1</v>
      </c>
      <c r="K19" s="17" t="n">
        <v>2</v>
      </c>
      <c r="O19" s="17" t="n">
        <v>0</v>
      </c>
    </row>
    <row r="20">
      <c r="A20" s="17" t="inlineStr">
        <is>
          <t>wpn_faith_basic</t>
        </is>
      </c>
      <c r="B20" s="17" t="inlineStr">
        <is>
          <t>Iron Rite</t>
        </is>
      </c>
      <c r="C20" s="17" t="inlineStr">
        <is>
          <t>faith</t>
        </is>
      </c>
      <c r="D20" s="17" t="inlineStr">
        <is>
          <t>basic</t>
        </is>
      </c>
      <c r="E20" s="17" t="n">
        <v>5</v>
      </c>
      <c r="F20" s="17" t="n">
        <v>90</v>
      </c>
      <c r="G20" s="17" t="n">
        <v>0</v>
      </c>
      <c r="H20" s="17" t="n">
        <v>5</v>
      </c>
      <c r="I20" s="17" t="n">
        <v>45</v>
      </c>
      <c r="J20" s="17" t="n">
        <v>1</v>
      </c>
      <c r="K20" s="17" t="n">
        <v>2</v>
      </c>
      <c r="O20" s="17" t="n">
        <v>0</v>
      </c>
    </row>
    <row r="21">
      <c r="A21" s="17" t="inlineStr">
        <is>
          <t>wpn_faith_mid</t>
        </is>
      </c>
      <c r="B21" s="17" t="inlineStr">
        <is>
          <t>Steel Rite</t>
        </is>
      </c>
      <c r="C21" s="17" t="inlineStr">
        <is>
          <t>faith</t>
        </is>
      </c>
      <c r="D21" s="17" t="inlineStr">
        <is>
          <t>mid</t>
        </is>
      </c>
      <c r="E21" s="17" t="n">
        <v>8</v>
      </c>
      <c r="F21" s="17" t="n">
        <v>80</v>
      </c>
      <c r="G21" s="17" t="n">
        <v>5</v>
      </c>
      <c r="H21" s="17" t="n">
        <v>8</v>
      </c>
      <c r="I21" s="17" t="n">
        <v>30</v>
      </c>
      <c r="J21" s="17" t="n">
        <v>1</v>
      </c>
      <c r="K21" s="17" t="n">
        <v>2</v>
      </c>
      <c r="O21" s="17" t="n">
        <v>1</v>
      </c>
    </row>
    <row r="22">
      <c r="A22" s="17" t="inlineStr">
        <is>
          <t>wpn_faith_high</t>
        </is>
      </c>
      <c r="B22" s="17" t="inlineStr">
        <is>
          <t>Silver Rite</t>
        </is>
      </c>
      <c r="C22" s="17" t="inlineStr">
        <is>
          <t>faith</t>
        </is>
      </c>
      <c r="D22" s="17" t="inlineStr">
        <is>
          <t>high</t>
        </is>
      </c>
      <c r="E22" s="17" t="n">
        <v>13</v>
      </c>
      <c r="F22" s="17" t="n">
        <v>75</v>
      </c>
      <c r="G22" s="17" t="n">
        <v>10</v>
      </c>
      <c r="H22" s="17" t="n">
        <v>10</v>
      </c>
      <c r="I22" s="17" t="n">
        <v>20</v>
      </c>
      <c r="J22" s="17" t="n">
        <v>1</v>
      </c>
      <c r="K22" s="17" t="n">
        <v>2</v>
      </c>
      <c r="O22" s="17" t="n">
        <v>0</v>
      </c>
    </row>
    <row r="23">
      <c r="A23" s="17" t="inlineStr">
        <is>
          <t>wpn_sword_worn</t>
        </is>
      </c>
      <c r="B23" s="17" t="inlineStr">
        <is>
          <t>Worn Sword</t>
        </is>
      </c>
      <c r="C23" s="17" t="inlineStr">
        <is>
          <t>sword</t>
        </is>
      </c>
      <c r="D23" s="17" t="inlineStr">
        <is>
          <t>worn</t>
        </is>
      </c>
      <c r="E23" s="17" t="n">
        <v>1</v>
      </c>
      <c r="F23" s="17" t="n">
        <v>55</v>
      </c>
      <c r="G23" s="17" t="n">
        <v>0</v>
      </c>
      <c r="H23" s="17" t="n">
        <v>6</v>
      </c>
      <c r="I23" s="17" t="n">
        <v>15</v>
      </c>
      <c r="J23" s="17" t="n">
        <v>1</v>
      </c>
      <c r="K23" s="17" t="n">
        <v>1</v>
      </c>
      <c r="L23" s="17" t="inlineStr">
        <is>
          <t>Below Iron -- scavenged/broken-in gear, not a tuned tier like basic/mid/high.</t>
        </is>
      </c>
      <c r="O23" s="17" t="n">
        <v>0</v>
      </c>
    </row>
    <row r="24">
      <c r="A24" s="17" t="inlineStr">
        <is>
          <t>wpn_lance_worn</t>
        </is>
      </c>
      <c r="B24" s="17" t="inlineStr">
        <is>
          <t>Worn Lance</t>
        </is>
      </c>
      <c r="C24" s="17" t="inlineStr">
        <is>
          <t>lance</t>
        </is>
      </c>
      <c r="D24" s="17" t="inlineStr">
        <is>
          <t>worn</t>
        </is>
      </c>
      <c r="E24" s="17" t="n">
        <v>1</v>
      </c>
      <c r="F24" s="17" t="n">
        <v>55</v>
      </c>
      <c r="G24" s="17" t="n">
        <v>0</v>
      </c>
      <c r="H24" s="17" t="n">
        <v>6</v>
      </c>
      <c r="I24" s="17" t="n">
        <v>15</v>
      </c>
      <c r="J24" s="17" t="n">
        <v>1</v>
      </c>
      <c r="K24" s="17" t="n">
        <v>1</v>
      </c>
      <c r="L24" s="17" t="inlineStr">
        <is>
          <t>Below Iron -- scavenged/broken-in gear, not a tuned tier like basic/mid/high.</t>
        </is>
      </c>
      <c r="O24" s="17" t="n">
        <v>0</v>
      </c>
    </row>
    <row r="25">
      <c r="A25" s="17" t="inlineStr">
        <is>
          <t>wpn_axe_worn</t>
        </is>
      </c>
      <c r="B25" s="17" t="inlineStr">
        <is>
          <t>Worn Axe</t>
        </is>
      </c>
      <c r="C25" s="17" t="inlineStr">
        <is>
          <t>axe</t>
        </is>
      </c>
      <c r="D25" s="17" t="inlineStr">
        <is>
          <t>worn</t>
        </is>
      </c>
      <c r="E25" s="17" t="n">
        <v>1</v>
      </c>
      <c r="F25" s="17" t="n">
        <v>55</v>
      </c>
      <c r="G25" s="17" t="n">
        <v>0</v>
      </c>
      <c r="H25" s="17" t="n">
        <v>6</v>
      </c>
      <c r="I25" s="17" t="n">
        <v>15</v>
      </c>
      <c r="J25" s="17" t="n">
        <v>1</v>
      </c>
      <c r="K25" s="17" t="n">
        <v>1</v>
      </c>
      <c r="L25" s="17" t="inlineStr">
        <is>
          <t>Below Iron -- scavenged/broken-in gear, not a tuned tier like basic/mid/high.</t>
        </is>
      </c>
      <c r="O25" s="17" t="n">
        <v>0</v>
      </c>
    </row>
    <row r="26">
      <c r="A26" s="17" t="inlineStr">
        <is>
          <t>wpn_bow_worn</t>
        </is>
      </c>
      <c r="B26" s="17" t="inlineStr">
        <is>
          <t>Worn Bow</t>
        </is>
      </c>
      <c r="C26" s="17" t="inlineStr">
        <is>
          <t>bow</t>
        </is>
      </c>
      <c r="D26" s="17" t="inlineStr">
        <is>
          <t>worn</t>
        </is>
      </c>
      <c r="E26" s="17" t="n">
        <v>1</v>
      </c>
      <c r="F26" s="17" t="n">
        <v>55</v>
      </c>
      <c r="G26" s="17" t="n">
        <v>0</v>
      </c>
      <c r="H26" s="17" t="n">
        <v>6</v>
      </c>
      <c r="I26" s="17" t="n">
        <v>15</v>
      </c>
      <c r="J26" s="17" t="n">
        <v>2</v>
      </c>
      <c r="K26" s="17" t="n">
        <v>2</v>
      </c>
      <c r="L26" s="17" t="inlineStr">
        <is>
          <t>Below Iron -- scavenged/broken-in gear, not a tuned tier like basic/mid/high.</t>
        </is>
      </c>
      <c r="O26" s="17" t="n">
        <v>0</v>
      </c>
    </row>
    <row r="27">
      <c r="A27" s="17" t="inlineStr">
        <is>
          <t>wpn_brawl_worn</t>
        </is>
      </c>
      <c r="B27" s="17" t="inlineStr">
        <is>
          <t>Worn Gauntlet</t>
        </is>
      </c>
      <c r="C27" s="17" t="inlineStr">
        <is>
          <t>brawl</t>
        </is>
      </c>
      <c r="D27" s="17" t="inlineStr">
        <is>
          <t>worn</t>
        </is>
      </c>
      <c r="E27" s="17" t="n">
        <v>1</v>
      </c>
      <c r="F27" s="17" t="n">
        <v>55</v>
      </c>
      <c r="G27" s="17" t="n">
        <v>0</v>
      </c>
      <c r="H27" s="17" t="n">
        <v>6</v>
      </c>
      <c r="I27" s="17" t="n">
        <v>15</v>
      </c>
      <c r="J27" s="17" t="n">
        <v>1</v>
      </c>
      <c r="K27" s="17" t="n">
        <v>1</v>
      </c>
      <c r="L27" s="17" t="inlineStr">
        <is>
          <t>Below Iron -- scavenged/broken-in gear, not a tuned tier like basic/mid/high.</t>
        </is>
      </c>
      <c r="O27" s="17" t="n">
        <v>0</v>
      </c>
    </row>
    <row r="28">
      <c r="A28" s="17" t="inlineStr">
        <is>
          <t>wpn_reason_worn</t>
        </is>
      </c>
      <c r="B28" s="17" t="inlineStr">
        <is>
          <t>Worn Tome</t>
        </is>
      </c>
      <c r="C28" s="17" t="inlineStr">
        <is>
          <t>reason</t>
        </is>
      </c>
      <c r="D28" s="17" t="inlineStr">
        <is>
          <t>worn</t>
        </is>
      </c>
      <c r="E28" s="17" t="n">
        <v>1</v>
      </c>
      <c r="F28" s="17" t="n">
        <v>55</v>
      </c>
      <c r="G28" s="17" t="n">
        <v>0</v>
      </c>
      <c r="H28" s="17" t="n">
        <v>6</v>
      </c>
      <c r="I28" s="17" t="n">
        <v>15</v>
      </c>
      <c r="J28" s="17" t="n">
        <v>1</v>
      </c>
      <c r="K28" s="17" t="n">
        <v>2</v>
      </c>
      <c r="L28" s="17" t="inlineStr">
        <is>
          <t>Below Iron -- scavenged/broken-in gear, not a tuned tier like basic/mid/high.</t>
        </is>
      </c>
      <c r="O28" s="17" t="n">
        <v>0</v>
      </c>
    </row>
    <row r="29">
      <c r="A29" s="17" t="inlineStr">
        <is>
          <t>wpn_faith_worn</t>
        </is>
      </c>
      <c r="B29" s="17" t="inlineStr">
        <is>
          <t>Worn Rite</t>
        </is>
      </c>
      <c r="C29" s="17" t="inlineStr">
        <is>
          <t>faith</t>
        </is>
      </c>
      <c r="D29" s="17" t="inlineStr">
        <is>
          <t>worn</t>
        </is>
      </c>
      <c r="E29" s="17" t="n">
        <v>1</v>
      </c>
      <c r="F29" s="17" t="n">
        <v>55</v>
      </c>
      <c r="G29" s="17" t="n">
        <v>0</v>
      </c>
      <c r="H29" s="17" t="n">
        <v>6</v>
      </c>
      <c r="I29" s="17" t="n">
        <v>15</v>
      </c>
      <c r="J29" s="17" t="n">
        <v>1</v>
      </c>
      <c r="K29" s="17" t="n">
        <v>2</v>
      </c>
      <c r="L29" s="17" t="inlineStr">
        <is>
          <t>Below Iron -- scavenged/broken-in gear, not a tuned tier like basic/mid/high.</t>
        </is>
      </c>
      <c r="O29" s="17" t="n">
        <v>0</v>
      </c>
    </row>
    <row r="30">
      <c r="A30" s="17" t="inlineStr">
        <is>
          <t>wpn_halberd</t>
        </is>
      </c>
      <c r="B30" s="17" t="inlineStr">
        <is>
          <t>Halberd</t>
        </is>
      </c>
      <c r="C30" s="17" t="inlineStr">
        <is>
          <t>axe</t>
        </is>
      </c>
      <c r="D30" s="17" t="inlineStr">
        <is>
          <t>mid</t>
        </is>
      </c>
      <c r="E30" s="17" t="n">
        <v>9</v>
      </c>
      <c r="F30" s="17" t="n">
        <v>70</v>
      </c>
      <c r="G30" s="17" t="n">
        <v>0</v>
      </c>
      <c r="H30" s="17" t="n">
        <v>12</v>
      </c>
      <c r="I30" s="17" t="n">
        <v>25</v>
      </c>
      <c r="J30" s="17" t="n">
        <v>1</v>
      </c>
      <c r="K30" s="17" t="n">
        <v>1</v>
      </c>
      <c r="L30" s="17" t="inlineStr">
        <is>
          <t>OVERLAP WEAPON (drafted 2026-10-02). Wielder needs BOTH axe and lance proficiency (req_arts) -- no class has that pair yet, cls_billman is the drafted one. Triangle-neutral (it hedges both faces, so no advantage and no penalty). Deliberately slow: weight 12 against a typical str of 7 costs 5 attack speed, so most wielders get doubled. Effective vs riding (might x2 in Combat.EFFECTIVE_MULT) -- the answer to cavalry that the plain triangle doesn't have.</t>
        </is>
      </c>
      <c r="M30" s="17" t="inlineStr">
        <is>
          <t>axe|lance</t>
        </is>
      </c>
      <c r="N30" s="17" t="inlineStr">
        <is>
          <t>riding</t>
        </is>
      </c>
      <c r="O30" s="17" t="n">
        <v>0</v>
      </c>
    </row>
    <row r="31">
      <c r="A31" s="17" t="inlineStr">
        <is>
          <t>wpn_maul</t>
        </is>
      </c>
      <c r="B31" s="17" t="inlineStr">
        <is>
          <t>Maul</t>
        </is>
      </c>
      <c r="C31" s="17" t="inlineStr">
        <is>
          <t>axe</t>
        </is>
      </c>
      <c r="D31" s="17" t="inlineStr">
        <is>
          <t>mid</t>
        </is>
      </c>
      <c r="E31" s="17" t="n">
        <v>10</v>
      </c>
      <c r="F31" s="17" t="n">
        <v>65</v>
      </c>
      <c r="G31" s="17" t="n">
        <v>5</v>
      </c>
      <c r="H31" s="17" t="n">
        <v>13</v>
      </c>
      <c r="I31" s="17" t="n">
        <v>25</v>
      </c>
      <c r="J31" s="17" t="n">
        <v>1</v>
      </c>
      <c r="K31" s="17" t="n">
        <v>1</v>
      </c>
      <c r="L31" s="17" t="inlineStr">
        <is>
          <t>OVERLAP WEAPON (drafted 2026-10-02). Needs axe AND brawl (cls_jaguar_knight today). Triangle-neutral. Heavy and inaccurate but hits hard; effective vs armor (heavy-armor movement type), the mirror of the halberd's anti-cavalry role.</t>
        </is>
      </c>
      <c r="M31" s="17" t="inlineStr">
        <is>
          <t>axe|brawl</t>
        </is>
      </c>
      <c r="N31" s="17" t="inlineStr">
        <is>
          <t>armor</t>
        </is>
      </c>
      <c r="O31" s="17" t="n">
        <v>0</v>
      </c>
    </row>
    <row r="32">
      <c r="A32" s="17" t="inlineStr">
        <is>
          <t>wpn_censer</t>
        </is>
      </c>
      <c r="B32" s="17" t="inlineStr">
        <is>
          <t>Censer</t>
        </is>
      </c>
      <c r="C32" s="17" t="inlineStr">
        <is>
          <t>reason</t>
        </is>
      </c>
      <c r="D32" s="17" t="inlineStr">
        <is>
          <t>mid</t>
        </is>
      </c>
      <c r="E32" s="17" t="n">
        <v>9</v>
      </c>
      <c r="F32" s="17" t="n">
        <v>75</v>
      </c>
      <c r="G32" s="17" t="n">
        <v>0</v>
      </c>
      <c r="H32" s="17" t="n">
        <v>7</v>
      </c>
      <c r="I32" s="17" t="n">
        <v>25</v>
      </c>
      <c r="J32" s="17" t="n">
        <v>1</v>
      </c>
      <c r="K32" s="17" t="n">
        <v>2</v>
      </c>
      <c r="L32" s="17" t="inlineStr">
        <is>
          <t>OVERLAP WEAPON (drafted 2026-10-02). Needs reason AND faith (cls_miasma_warden today). Magic (mag/res), range 1-2, triangle-neutral. No effectiveness trait: its edge is that one weapon spans both magic arts. Attack speed burdens against mag, not str, like every magic weapon.</t>
        </is>
      </c>
      <c r="M32" s="17" t="inlineStr">
        <is>
          <t>reason|faith</t>
        </is>
      </c>
      <c r="O32" s="17" t="n">
        <v>0</v>
      </c>
    </row>
    <row r="33">
      <c r="A33" s="17" t="inlineStr">
        <is>
          <t>wpn_feather_blade</t>
        </is>
      </c>
      <c r="B33" s="17" t="inlineStr">
        <is>
          <t>Feather Blade</t>
        </is>
      </c>
      <c r="C33" s="17" t="inlineStr">
        <is>
          <t>sword</t>
        </is>
      </c>
      <c r="D33" s="17" t="inlineStr">
        <is>
          <t>legendary</t>
        </is>
      </c>
      <c r="E33" s="17" t="n">
        <v>12</v>
      </c>
      <c r="F33" s="17" t="n">
        <v>85</v>
      </c>
      <c r="G33" s="17" t="n">
        <v>5</v>
      </c>
      <c r="H33" s="17" t="n">
        <v>8</v>
      </c>
      <c r="I33" s="17" t="n">
        <v>30</v>
      </c>
      <c r="J33" s="17" t="n">
        <v>1</v>
      </c>
      <c r="K33" s="17" t="n">
        <v>1</v>
      </c>
      <c r="L33" s="17" t="inlineStr">
        <is>
          <t>LEGENDARY (forged from the Simurgh's feather, 2026-10-17). Heals the wielder's allies on contact rather than the wielder: every hit restores prm_forge_heal HP to each ally standing next to the wielder.</t>
        </is>
      </c>
      <c r="M33" s="17" t="n"/>
      <c r="O33" s="17" t="n">
        <v>0</v>
      </c>
      <c r="P33" s="17" t="inlineStr">
        <is>
          <t>heal_allies</t>
        </is>
      </c>
    </row>
    <row r="34">
      <c r="A34" s="17" t="inlineStr">
        <is>
          <t>wpn_karkadann_lance</t>
        </is>
      </c>
      <c r="B34" s="17" t="inlineStr">
        <is>
          <t>Karkadann Lance</t>
        </is>
      </c>
      <c r="C34" s="17" t="inlineStr">
        <is>
          <t>lance</t>
        </is>
      </c>
      <c r="D34" s="17" t="inlineStr">
        <is>
          <t>legendary</t>
        </is>
      </c>
      <c r="E34" s="17" t="n">
        <v>14</v>
      </c>
      <c r="F34" s="17" t="n">
        <v>75</v>
      </c>
      <c r="G34" s="17" t="n">
        <v>5</v>
      </c>
      <c r="H34" s="17" t="n">
        <v>11</v>
      </c>
      <c r="I34" s="17" t="n">
        <v>30</v>
      </c>
      <c r="J34" s="17" t="n">
        <v>1</v>
      </c>
      <c r="K34" s="17" t="n">
        <v>1</v>
      </c>
      <c r="L34" s="17" t="inlineStr">
        <is>
          <t>LEGENDARY (forged from the Karkadann's horn). Strong against mounted units, nothing special against infantry: effective vs riding (might x2), and otherwise a plain good lance -- 'the plain one on purpose'.</t>
        </is>
      </c>
      <c r="M34" s="17" t="n"/>
      <c r="N34" s="17" t="inlineStr">
        <is>
          <t>riding</t>
        </is>
      </c>
      <c r="O34" s="17" t="n">
        <v>0</v>
      </c>
    </row>
    <row r="35">
      <c r="A35" s="17" t="inlineStr">
        <is>
          <t>wpn_anzu_edge</t>
        </is>
      </c>
      <c r="B35" s="17" t="inlineStr">
        <is>
          <t>Anzu Edge</t>
        </is>
      </c>
      <c r="C35" s="17" t="inlineStr">
        <is>
          <t>sword</t>
        </is>
      </c>
      <c r="D35" s="17" t="inlineStr">
        <is>
          <t>legendary</t>
        </is>
      </c>
      <c r="E35" s="17" t="n">
        <v>11</v>
      </c>
      <c r="F35" s="17" t="n">
        <v>80</v>
      </c>
      <c r="G35" s="17" t="n">
        <v>10</v>
      </c>
      <c r="H35" s="17" t="n">
        <v>8</v>
      </c>
      <c r="I35" s="17" t="n">
        <v>30</v>
      </c>
      <c r="J35" s="17" t="n">
        <v>1</v>
      </c>
      <c r="K35" s="17" t="n">
        <v>1</v>
      </c>
      <c r="L35" s="17" t="inlineStr">
        <is>
          <t>LEGENDARY (forged from the Anzu's torn pinions). Unmakes weapons on contact: each hit wears the foe's weapon one step down (it only bites what is already worn -- a worn weapon goes at once, a silver one after four hits), and a weapon that is gone leaves the enemy unarmed, not dead.</t>
        </is>
      </c>
      <c r="M35" s="17" t="n"/>
      <c r="O35" s="17" t="n">
        <v>0</v>
      </c>
      <c r="P35" s="17" t="inlineStr">
        <is>
          <t>unmake</t>
        </is>
      </c>
    </row>
    <row r="36">
      <c r="A36" s="17" t="inlineStr">
        <is>
          <t>wpn_shadhavar_bow</t>
        </is>
      </c>
      <c r="B36" s="17" t="inlineStr">
        <is>
          <t>Shadhavar Bow</t>
        </is>
      </c>
      <c r="C36" s="17" t="inlineStr">
        <is>
          <t>bow</t>
        </is>
      </c>
      <c r="D36" s="17" t="inlineStr">
        <is>
          <t>legendary</t>
        </is>
      </c>
      <c r="E36" s="17" t="n">
        <v>11</v>
      </c>
      <c r="F36" s="17" t="n">
        <v>85</v>
      </c>
      <c r="G36" s="17" t="n">
        <v>5</v>
      </c>
      <c r="H36" s="17" t="n">
        <v>7</v>
      </c>
      <c r="I36" s="17" t="n">
        <v>30</v>
      </c>
      <c r="J36" s="17" t="n">
        <v>2</v>
      </c>
      <c r="K36" s="17" t="n">
        <v>2</v>
      </c>
      <c r="L36" s="17" t="inlineStr">
        <is>
          <t>LEGENDARY (forged from the Shadhavar's hollow horn). Hums and drags the foe it hits a tile closer to the archer -- it cannot be turned off, so it is a liability against a melee line and an asset against anything that kites. Bosses are not dragged.</t>
        </is>
      </c>
      <c r="M36" s="17" t="n"/>
      <c r="O36" s="17" t="n">
        <v>0</v>
      </c>
      <c r="P36" s="17" t="inlineStr">
        <is>
          <t>pull</t>
        </is>
      </c>
    </row>
    <row r="37">
      <c r="A37" s="17" t="inlineStr">
        <is>
          <t>NOTE -- draft weapons table, review before treating as canon. Covers ordinary equipment only -- forges/materials' 5 legendary drops (3-of-5 cap) are a separate system above this tier, per forges' own note that the common smith 'arms lances and axes: the common soldier's tools, not the officer's.' Three tiers per art (basic/mid/high, flavor-named Iron/Steel/Silver) x 7 arts = 21 weapons. Might/hit/crit/weight/uses follow the classic Fire Emblem Iron-Steel-Silver progression (might up, hit and durability down as tier rises) -- this design's own stated lineage per PROJECT_HANDOFF.md, not sourced from anything in canon.xlsx. Range: melee arts (sword/lance/axe/brawl) = 1, bow = 2, reason/faith = 1-2 (standard FE magic range). Names are placeholder and mechanical on purpose (e.g. 'Iron Tome', 'Iron Rite') -- real flavor-naming consistent with the setting's Byzantine/Near-East register is a writing pass for later, not attempted here. No weapon-rank/proficiency gating system exists yet (who can use which tier) -- units' single art_primary/secondary per class implicitly limits which art a unit fights with, but nothing yet gates basic vs. mid vs. high within that art. Drafted by a Claude Code session, 2026-09-16. ADDENDUM: 'worn' tier added below basic -- might 1, hit 55, one art each. Built for the prologue's conquered-army soldiers (enemy_archetypes.ea_conquered_soldier): veteran-level troops equipped with whatever's left after a siege, not a new balance tier anyone is meant to fight through progression. Numbers are a judgment call (roughly basic tier's might/hit at a fifth to two-thirds), not derived from anything in canon.xlsx. Drafted by a Claude Code session, 2026-09-16. ADDENDUM (2026-09-25): crit calibration pass. This row's own text already said crit 'follows the classic Fire Emblem Iron-Steel-Silver progression (might up, hit and durability down as tier rises)' but every weapon actually shipped with crit=0, flat across all 4 tiers -- never filled in despite the stated intent. Extended the same tier-scaling might/hit/weight/uses already use: worn=0, basic=0 (unchanged -- starter/scavenged gear staying crit-free matches genre convention), mid=5, high=10. Simulated the resulting crit_chance() output (weapon_crit + attacker.dex - defender.lck, this session's own 2026-09-25 formula calibration) against all 1,056 ordered unit/enemy attacker-defender combos per tier: basic/worn stays at the formula's own baseline (57.5% nonzero, mean 3.4%, max 21%); mid roughly doubles presence (86.8% nonzero, mean 7.1%, max 26%); high makes crit a real threat without ever approaching a coinflip (97.3% nonzero, mean 11.9%, max 31%, only 2 of 1,056 combos clear 30%). Kept the crit value uniform across all 7 arts, matching every other column on this table already being purely tier-based, not art-based -- nothing here or in canon.xlsx supports giving e.g. bows a crit edge over axes. ADDENDUM (2026-10-02): added req_arts (pipe-delimited arts a wielder must ALL be proficient in; blank = just the weapon's own art) and effective_vs (pipe-delimited movement types the weapon deals x2 might to), plus 3 overlap weapons (halberd, maul, censer). A weapon with 2+ req_arts is triangle-neutral. Attack speed = spd - max(0, weight - str) (mag for magic arts); a unit doubles at +4 speed. See combat.gd. ADDENDUM 2 (2026-10-03): added convoy_qty -- how many of each weapon the shared convoy holds at the start of a playthrough (one mid-tier weapon per art; the overlap weapons start at 0 and arrive as drops). Every unit also starts with the basic weapon of its art (Equipment.ensure_loadout). `uses` is now spent: 1 per strike made, the weapon breaks at 0, no repair (map_f00's design note). ADDENDUM (2026-10-17): the 'legendary' tier is the master smiths' work (forges/materials tabs): four weapons, one per usable Named material, never found or bought. effect = a special on-hit rule (heal_allies / unmake / pull); blank = none. Legendary weapons need a certified class like high-tier ones.</t>
        </is>
      </c>
    </row>
  </sheetData>
  <pageMargins left="0.75" right="0.75" top="1" bottom="1" header="0.5" footer="0.5"/>
</worksheet>
</file>

<file path=xl/worksheets/sheet41.xml><?xml version="1.0" encoding="utf-8"?>
<worksheet xmlns="http://schemas.openxmlformats.org/spreadsheetml/2006/main">
  <sheetPr filterMode="0">
    <outlinePr summaryBelow="1" summaryRight="1"/>
    <pageSetUpPr fitToPage="0"/>
  </sheetPr>
  <dimension ref="A1:L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2" customWidth="1" style="17" min="2" max="2"/>
    <col width="14" customWidth="1" style="17" min="3" max="3"/>
    <col width="10" customWidth="1" style="17" min="4" max="4"/>
    <col width="11" customWidth="1" style="17" min="5" max="5"/>
    <col width="44" customWidth="1" style="17" min="6" max="6"/>
    <col width="12" customWidth="1" style="17" min="7" max="7"/>
    <col width="46" customWidth="1" style="17" min="8" max="9"/>
    <col width="16" customWidth="1" style="18" min="10" max="10"/>
    <col width="18" customWidth="1" style="18" min="11" max="11"/>
    <col width="10" customWidth="1" style="18" min="12" max="12"/>
  </cols>
  <sheetData>
    <row r="1" ht="30" customHeight="1" s="18">
      <c r="A1" s="21" t="inlineStr">
        <is>
          <t>forge_id</t>
        </is>
      </c>
      <c r="B1" s="21" t="inlineStr">
        <is>
          <t>name</t>
        </is>
      </c>
      <c r="C1" s="21" t="inlineStr">
        <is>
          <t>location</t>
        </is>
      </c>
      <c r="D1" s="21" t="inlineStr">
        <is>
          <t>tier</t>
        </is>
      </c>
      <c r="E1" s="21" t="inlineStr">
        <is>
          <t>specialty</t>
        </is>
      </c>
      <c r="F1" s="21" t="inlineStr">
        <is>
          <t>smith_notes</t>
        </is>
      </c>
      <c r="G1" s="21" t="inlineStr">
        <is>
          <t>cycle_length</t>
        </is>
      </c>
      <c r="H1" s="21" t="inlineStr">
        <is>
          <t>access_logic</t>
        </is>
      </c>
      <c r="I1" s="21" t="inlineStr">
        <is>
          <t>design_note</t>
        </is>
      </c>
      <c r="J1" s="21" t="inlineStr">
        <is>
          <t>location_id</t>
        </is>
      </c>
      <c r="K1" s="21" t="inlineStr">
        <is>
          <t>access_rule</t>
        </is>
      </c>
      <c r="L1" s="21" t="inlineStr">
        <is>
          <t>cycle_n</t>
        </is>
      </c>
    </row>
    <row r="2" ht="15" customHeight="1" s="18">
      <c r="A2" s="23" t="inlineStr">
        <is>
          <t>frg_standard_a</t>
        </is>
      </c>
      <c r="B2" s="23" t="inlineStr">
        <is>
          <t>the Diadem's forge orders</t>
        </is>
      </c>
      <c r="C2" s="23" t="n"/>
      <c r="D2" s="23" t="inlineStr">
        <is>
          <t>standard</t>
        </is>
      </c>
      <c r="E2" s="23" t="n"/>
      <c r="F2" s="23" t="n"/>
      <c r="G2" s="23" t="inlineStr">
        <is>
          <t>1 chapter</t>
        </is>
      </c>
      <c r="H2" s="23" t="inlineStr">
        <is>
          <t>requisition tier only (1/2/3 open orders at tier 1/2/3)</t>
        </is>
      </c>
      <c r="I2" s="23" t="inlineStr">
        <is>
          <t>the ordinary spine sidequest; no master required</t>
        </is>
      </c>
    </row>
    <row r="3" ht="23.85" customHeight="1" s="18">
      <c r="A3" s="23" t="inlineStr">
        <is>
          <t>frg_standard_b</t>
        </is>
      </c>
      <c r="B3" s="23" t="inlineStr">
        <is>
          <t>the Assembly's forge orders</t>
        </is>
      </c>
      <c r="C3" s="23" t="n"/>
      <c r="D3" s="23" t="inlineStr">
        <is>
          <t>standard</t>
        </is>
      </c>
      <c r="E3" s="23" t="n"/>
      <c r="F3" s="23" t="n"/>
      <c r="G3" s="23" t="inlineStr">
        <is>
          <t>1 chapter</t>
        </is>
      </c>
      <c r="H3" s="23" t="inlineStr">
        <is>
          <t>requisition tier only (1/2/3 open orders at tier 1/2/3)</t>
        </is>
      </c>
      <c r="I3" s="23" t="inlineStr">
        <is>
          <t>the ordinary spine sidequest; no master required</t>
        </is>
      </c>
    </row>
    <row r="4" ht="46.25" customHeight="1" s="18">
      <c r="A4" s="23" t="inlineStr">
        <is>
          <t>frg_kaisareia</t>
        </is>
      </c>
      <c r="B4" s="23" t="inlineStr">
        <is>
          <t>the edged master</t>
        </is>
      </c>
      <c r="C4" s="23" t="inlineStr">
        <is>
          <t>set_kaisareia</t>
        </is>
      </c>
      <c r="D4" s="23" t="inlineStr">
        <is>
          <t>master</t>
        </is>
      </c>
      <c r="E4" s="23" t="inlineStr">
        <is>
          <t>edged</t>
        </is>
      </c>
      <c r="F4" s="23" t="inlineStr">
        <is>
          <t>her own technique is inherited, a lineage carried from further east generations ago and never native to the capital -- the same story as its library</t>
        </is>
      </c>
      <c r="G4" s="23" t="inlineStr">
        <is>
          <t>2 chapters</t>
        </is>
      </c>
      <c r="H4" s="23" t="inlineStr">
        <is>
          <t>STATE LEGITIMACY: requisition tier alone, no road to hold or favour to earn. The crown decides whether you're permitted a blade of the highest order and nothing else enters into it</t>
        </is>
      </c>
      <c r="I4" s="23" t="inlineStr">
        <is>
          <t>the baseline master, always reachable if the crown is willing</t>
        </is>
      </c>
      <c r="J4" s="17" t="inlineStr">
        <is>
          <t>loc_kaisareia_walls</t>
        </is>
      </c>
      <c r="K4" s="17" t="inlineStr">
        <is>
          <t>always</t>
        </is>
      </c>
      <c r="L4" s="17" t="n">
        <v>2</v>
      </c>
    </row>
    <row r="5" ht="46.25" customHeight="1" s="18">
      <c r="A5" s="23" t="inlineStr">
        <is>
          <t>frg_vashti</t>
        </is>
      </c>
      <c r="B5" s="23" t="inlineStr">
        <is>
          <t>the hafted master</t>
        </is>
      </c>
      <c r="C5" s="23" t="inlineStr">
        <is>
          <t>set_vashti</t>
        </is>
      </c>
      <c r="D5" s="23" t="inlineStr">
        <is>
          <t>master</t>
        </is>
      </c>
      <c r="E5" s="23" t="inlineStr">
        <is>
          <t>hafted</t>
        </is>
      </c>
      <c r="F5" s="23" t="inlineStr">
        <is>
          <t>her family has worked that forge for longer than the current occupation and treats the war as weather</t>
        </is>
      </c>
      <c r="G5" s="23" t="inlineStr">
        <is>
          <t>2 chapters</t>
        </is>
      </c>
      <c r="H5" s="23" t="inlineStr">
        <is>
          <t>MILITARY CONTROL: requires holding the Vashti road, tied directly to Column A's actual chapters rather than a flat unlock -- access can be LOST mid-run if the road is lost</t>
        </is>
      </c>
      <c r="I5" s="23" t="inlineStr">
        <is>
          <t>arms lances and axes: the common soldier's tools, not the officer's. Fitting that the hardest-won master smith makes the plainest weapons</t>
        </is>
      </c>
      <c r="J5" s="17" t="inlineStr">
        <is>
          <t>loc_vashti_gate</t>
        </is>
      </c>
      <c r="K5" s="17" t="inlineStr">
        <is>
          <t>won:map_ct19</t>
        </is>
      </c>
      <c r="L5" s="17" t="n">
        <v>2</v>
      </c>
    </row>
    <row r="6" ht="35.05" customHeight="1" s="18">
      <c r="A6" s="23" t="inlineStr">
        <is>
          <t>frg_herd</t>
        </is>
      </c>
      <c r="B6" s="23" t="inlineStr">
        <is>
          <t>the missile master</t>
        </is>
      </c>
      <c r="C6" s="23" t="inlineStr">
        <is>
          <t>pol_clans</t>
        </is>
      </c>
      <c r="D6" s="23" t="inlineStr">
        <is>
          <t>master</t>
        </is>
      </c>
      <c r="E6" s="23" t="inlineStr">
        <is>
          <t>missile</t>
        </is>
      </c>
      <c r="F6" s="23" t="inlineStr">
        <is>
          <t>answers to no crown and holds no seat; the Herd Clans have no city to besiege and nothing to seize</t>
        </is>
      </c>
      <c r="G6" s="23" t="inlineStr">
        <is>
          <t>2 chapters</t>
        </is>
      </c>
      <c r="H6" s="23" t="inlineStr">
        <is>
          <t>DIPLOMATIC STANDING: cannot be conquered or purchased, only granted passage -- the one master no amount of requisition tier or occupied ground can buy</t>
        </is>
      </c>
      <c r="I6" s="23" t="inlineStr">
        <is>
          <t>the master smith outside the state's reach entirely, which is the point</t>
        </is>
      </c>
      <c r="J6" s="17" t="inlineStr">
        <is>
          <t>loc_ostrova</t>
        </is>
      </c>
      <c r="K6" s="17" t="inlineStr">
        <is>
          <t>won:map_x11</t>
        </is>
      </c>
      <c r="L6" s="17" t="n">
        <v>2</v>
      </c>
    </row>
    <row r="8" ht="15" customHeight="1" s="18">
      <c r="A8" s="25" t="inlineStr">
        <is>
          <t>TWO CHAPTERS for master work, not three -- the brake on the system is the hard cap of 3 master works per run against 5 possible beast materials (see materials tab), not cycle length. Standard forges have no location column entry because they are abstracted to 'wherever your column currently is,' not a place on the map; masters are FIXED buildings you travel to. Three different access logics on purpose, so the masters are not interchangeable: state legitimacy / military control / diplomatic standing. ADDENDUM (2026-10-17): location_id puts each master on the overworld (drafted: the Herd master has no city, so it is placed at Ostrova on the steppe edge). access_rule: 'always' | 'won:&lt;map_id&gt;[|&lt;map_id&gt;]' (any one won) -- the kaisareia master is open (the crown permits), the Vashti master once Column A's Cinder Track is won (the road is held), the Herd master once the Second Writ is won (passage granted); all three are drafted readings of the access_logic text. 'Access can be lost mid-run' is not modelled. cycle_n = chapters (newly won maps) a commission takes.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14" customWidth="1" style="17" min="2" max="2"/>
    <col width="16" customWidth="1" style="17" min="3" max="3"/>
    <col width="14" customWidth="1" style="17" min="4" max="4"/>
    <col width="16" customWidth="1" style="17" min="5" max="5"/>
    <col width="60" customWidth="1" style="17" min="6" max="6"/>
    <col width="16" customWidth="1" style="18" min="7" max="7"/>
    <col width="16" customWidth="1" style="18" min="8" max="8"/>
  </cols>
  <sheetData>
    <row r="1" ht="30" customHeight="1" s="18">
      <c r="A1" s="21" t="inlineStr">
        <is>
          <t>material_id</t>
        </is>
      </c>
      <c r="B1" s="21" t="inlineStr">
        <is>
          <t>named_id</t>
        </is>
      </c>
      <c r="C1" s="21" t="inlineStr">
        <is>
          <t>drop</t>
        </is>
      </c>
      <c r="D1" s="21" t="inlineStr">
        <is>
          <t>forge_id</t>
        </is>
      </c>
      <c r="E1" s="21" t="inlineStr">
        <is>
          <t>specialty_required</t>
        </is>
      </c>
      <c r="F1" s="21" t="inlineStr">
        <is>
          <t>resulting_weapon</t>
        </is>
      </c>
      <c r="G1" s="21" t="inlineStr">
        <is>
          <t>enemy_id</t>
        </is>
      </c>
      <c r="H1" s="21" t="inlineStr">
        <is>
          <t>weapon_id</t>
        </is>
      </c>
    </row>
    <row r="2" ht="15" customHeight="1" s="18">
      <c r="A2" s="23" t="inlineStr">
        <is>
          <t>mat_simurgh</t>
        </is>
      </c>
      <c r="B2" s="23" t="inlineStr">
        <is>
          <t>nmd_simurgh</t>
        </is>
      </c>
      <c r="C2" s="23" t="inlineStr">
        <is>
          <t>the feather</t>
        </is>
      </c>
      <c r="D2" s="23" t="inlineStr">
        <is>
          <t>frg_kaisareia</t>
        </is>
      </c>
      <c r="E2" s="23" t="inlineStr">
        <is>
          <t>edged</t>
        </is>
      </c>
      <c r="F2" s="23" t="inlineStr">
        <is>
          <t>a blade that heals its wielder's allies on contact rather than the wielder</t>
        </is>
      </c>
      <c r="G2" s="17" t="inlineStr">
        <is>
          <t>ea_simurgh</t>
        </is>
      </c>
      <c r="H2" s="17" t="inlineStr">
        <is>
          <t>wpn_feather_blade</t>
        </is>
      </c>
    </row>
    <row r="3" ht="23.85" customHeight="1" s="18">
      <c r="A3" s="23" t="inlineStr">
        <is>
          <t>mat_karkadann</t>
        </is>
      </c>
      <c r="B3" s="23" t="inlineStr">
        <is>
          <t>nmd_karkadann</t>
        </is>
      </c>
      <c r="C3" s="23" t="inlineStr">
        <is>
          <t>the horn</t>
        </is>
      </c>
      <c r="D3" s="23" t="inlineStr">
        <is>
          <t>frg_vashti</t>
        </is>
      </c>
      <c r="E3" s="23" t="inlineStr">
        <is>
          <t>hafted</t>
        </is>
      </c>
      <c r="F3" s="23" t="inlineStr">
        <is>
          <t>the Karkadann-horned lance: strong vs. mounted units, nothing special vs. infantry</t>
        </is>
      </c>
      <c r="G3" s="17" t="inlineStr">
        <is>
          <t>ea_karkadann</t>
        </is>
      </c>
      <c r="H3" s="17" t="inlineStr">
        <is>
          <t>wpn_karkadann_lance</t>
        </is>
      </c>
    </row>
    <row r="4" ht="23.85" customHeight="1" s="18">
      <c r="A4" s="23" t="inlineStr">
        <is>
          <t>mat_anzu</t>
        </is>
      </c>
      <c r="B4" s="23" t="inlineStr">
        <is>
          <t>nmd_anzu</t>
        </is>
      </c>
      <c r="C4" s="23" t="inlineStr">
        <is>
          <t>torn pinions</t>
        </is>
      </c>
      <c r="D4" s="23" t="inlineStr">
        <is>
          <t>frg_kaisareia</t>
        </is>
      </c>
      <c r="E4" s="23" t="inlineStr">
        <is>
          <t>edged</t>
        </is>
      </c>
      <c r="F4" s="23" t="inlineStr">
        <is>
          <t>an edge that unmakes weapons on contact, from something that already unmakes weapons</t>
        </is>
      </c>
      <c r="G4" s="17" t="inlineStr">
        <is>
          <t>ea_anzu</t>
        </is>
      </c>
      <c r="H4" s="17" t="inlineStr">
        <is>
          <t>wpn_anzu_edge</t>
        </is>
      </c>
    </row>
    <row r="5" ht="23.85" customHeight="1" s="18">
      <c r="A5" s="23" t="inlineStr">
        <is>
          <t>mat_shadhavar</t>
        </is>
      </c>
      <c r="B5" s="23" t="inlineStr">
        <is>
          <t>nmd_shadhavar</t>
        </is>
      </c>
      <c r="C5" s="23" t="inlineStr">
        <is>
          <t>a hollow horn</t>
        </is>
      </c>
      <c r="D5" s="23" t="inlineStr">
        <is>
          <t>frg_herd</t>
        </is>
      </c>
      <c r="E5" s="23" t="inlineStr">
        <is>
          <t>missile</t>
        </is>
      </c>
      <c r="F5" s="23" t="inlineStr">
        <is>
          <t>a bow that hums and drags the nearest enemy a tile closer -- can't be turned off</t>
        </is>
      </c>
      <c r="G5" s="17" t="inlineStr">
        <is>
          <t>ea_shadhavar</t>
        </is>
      </c>
      <c r="H5" s="17" t="inlineStr">
        <is>
          <t>wpn_shadhavar_bow</t>
        </is>
      </c>
    </row>
    <row r="6" ht="35.05" customHeight="1" s="18">
      <c r="A6" s="23" t="inlineStr">
        <is>
          <t>mat_huma</t>
        </is>
      </c>
      <c r="B6" s="23" t="inlineStr">
        <is>
          <t>nmd_huma</t>
        </is>
      </c>
      <c r="C6" s="23" t="inlineStr">
        <is>
          <t>(cannot be harvested)</t>
        </is>
      </c>
      <c r="D6" s="23" t="n"/>
      <c r="E6" s="23" t="n"/>
      <c r="F6" s="23" t="inlineStr">
        <is>
          <t>the Huma cannot be captured or harvested at all -- see the kill-taboo. No weapon exists from it, on purpose: the one Named with no forge payoff, because it was never a mount to begin with</t>
        </is>
      </c>
    </row>
    <row r="8" ht="15" customHeight="1" s="18">
      <c r="A8" s="25" t="inlineStr">
        <is>
          <t>HARD CAP: 3 master works per run against 5 possible drops (4 usable + the Huma, which yields none). 'You can't have everything' lives here, not in cycle length. Materials never expire, so banking across a dozen chapters is legal strategy, not an exploit -- the commitment moment is whenever you choose to spend one, not whenever you got it. ADDENDUM (2026-10-17): enemy_id is the fightable stand-in whose defeat yields the material, weapon_id the weapon it is forged into. One material per Named per run. Killing it yields a PRIME material; capturing it (harvest) a DIMINISHED one (a weapon with half the uses). The Huma has neither: it is never fought.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7" min="1" max="1"/>
    <col width="30" customWidth="1" style="17" min="2" max="2"/>
    <col width="24" customWidth="1" style="17" min="3" max="3"/>
    <col width="48" customWidth="1" style="17" min="4" max="5"/>
    <col width="36" customWidth="1" style="17" min="6" max="6"/>
    <col width="46" customWidth="1" style="17" min="7" max="7"/>
  </cols>
  <sheetData>
    <row r="1" ht="30" customHeight="1" s="18">
      <c r="A1" s="21" t="inlineStr">
        <is>
          <t>sect_id</t>
        </is>
      </c>
      <c r="B1" s="21" t="inlineStr">
        <is>
          <t>primary_analog</t>
        </is>
      </c>
      <c r="C1" s="21" t="inlineStr">
        <is>
          <t>period</t>
        </is>
      </c>
      <c r="D1" s="21" t="inlineStr">
        <is>
          <t>doctrinal_anchor</t>
        </is>
      </c>
      <c r="E1" s="21" t="inlineStr">
        <is>
          <t>historical_anchor</t>
        </is>
      </c>
      <c r="F1" s="21" t="inlineStr">
        <is>
          <t>key_terms</t>
        </is>
      </c>
      <c r="G1" s="21" t="inlineStr">
        <is>
          <t>caution</t>
        </is>
      </c>
    </row>
    <row r="2" ht="68.65000000000001" customHeight="1" s="18">
      <c r="A2" s="23" t="inlineStr">
        <is>
          <t>sect_vashti</t>
        </is>
      </c>
      <c r="B2" s="23" t="inlineStr">
        <is>
          <t>Donatism</t>
        </is>
      </c>
      <c r="C2" s="23" t="inlineStr">
        <is>
          <t>early 4th c., Roman North Africa</t>
        </is>
      </c>
      <c r="D2" s="23" t="inlineStr">
        <is>
          <t>sacramental validity depends on the minister's own moral state -- a priest who handed over scripture under persecution (a traditor) cannot validly perform sacraments afterward; rebaptism and reconsecration are required</t>
        </is>
      </c>
      <c r="E2" s="23" t="inlineStr">
        <is>
          <t>arose among communities whose clergy split under the Diocletianic persecution (303-305 AD) -- some martyred, some capitulated -- and the controversy over the survivors' authority outlived the persecution by a century</t>
        </is>
      </c>
      <c r="F2" s="23" t="inlineStr">
        <is>
          <t>traditor (one who handed over); rebaptism; purity of the minister</t>
        </is>
      </c>
      <c r="G2" s="23" t="inlineStr">
        <is>
          <t>the historical Donatists had a violent fringe, the Circumcellions -- whether the Unstained have an equivalent should be a deliberate choice, not an accident of the parallel. Also: historical Donatism lost and was suppressed; the Unstained's fate here is undecided and does not have to mirror that</t>
        </is>
      </c>
    </row>
    <row r="3" ht="79.84999999999999" customHeight="1" s="18">
      <c r="A3" s="23" t="inlineStr">
        <is>
          <t>sect_march</t>
        </is>
      </c>
      <c r="B3" s="23" t="inlineStr">
        <is>
          <t>Montanism (doctrine) + Latter Day Saint restorationism (cosmology)</t>
        </is>
      </c>
      <c r="C3" s="23" t="inlineStr">
        <is>
          <t>Montanism: mid-late 2nd c. Phrygia. LDS content: 19th c.</t>
        </is>
      </c>
      <c r="D3" s="23" t="inlineStr">
        <is>
          <t>Montanism: revelation did not close with the apostles; Montanus and the prophetesses Priscilla and Maximilla claimed ongoing direct inspiration by the Paraclete. LDS: restorationism proper -- everything was lost and has now been given back whole, through an unknown person, complete with new scripture still arriving</t>
        </is>
      </c>
      <c r="E3" s="23" t="inlineStr">
        <is>
          <t>Tertullian, a major orthodox theologian, defected to Montanism late in life -- a ready beat if a respected clerk ever joins this sect. Separately: 1 Corinthians 15:29 references a genuinely murky ancient practice of baptism for the dead, which the LDS church later revived citing that exact verse -- so 'rebaptism of the dead' has one foot in the 2nd century and one in the 19th, and both are real</t>
        </is>
      </c>
      <c r="F3" s="23" t="inlineStr">
        <is>
          <t>New Prophecy; the Paraclete; ecstatic utterance; restoration; a living seer</t>
        </is>
      </c>
      <c r="G3" s="23" t="inlineStr">
        <is>
          <t>DELIBERATE COMPRESSION, not an error: this sect's cosmology is centuries later than its doctrinal bones and later than every other sect's anchor. Worth being honest about that in the writers' room rather than presenting it as period-accurate</t>
        </is>
      </c>
    </row>
    <row r="4" ht="57.45" customHeight="1" s="18">
      <c r="A4" s="23" t="inlineStr">
        <is>
          <t>sect_road</t>
        </is>
      </c>
      <c r="B4" s="23" t="inlineStr">
        <is>
          <t>Pauline soteriology (doctrine) + the Church of the East (structure)</t>
        </is>
      </c>
      <c r="C4" s="23" t="inlineStr">
        <is>
          <t>Paul: 1st c. Church of the East's Silk Road reach: 7th-9th c. onward</t>
        </is>
      </c>
      <c r="D4" s="23" t="inlineStr">
        <is>
          <t>Paul's Greek for redemption is commercial, not merely poetic: exagorazo (buy out of the marketplace), apolytrosis (a ransom price) -- 'you were bought with a price,' stated plainly, twice, in 1 Corinthians. The Company took the metaphor literally</t>
        </is>
      </c>
      <c r="E4" s="23" t="inlineStr">
        <is>
          <t>the Church of the East spread from Persia along the Silk Road into Central Asia, India, and as far as China almost entirely through merchant and monastic networks, with no empire ever behind it -- the Nestorian Stele at Xi'an (781 AD) records exactly that reach</t>
        </is>
      </c>
      <c r="F4" s="23" t="inlineStr">
        <is>
          <t>redemption as ransom; exagorazo; the Church of the East; Silk Road Christianity</t>
        </is>
      </c>
      <c r="G4" s="23" t="inlineStr">
        <is>
          <t>this pairing is also the best protection on the antisemitism guardrails worked out earlier: the Church of the East was a confession people converted INTO by trade and persuasion, not an ethnicity, which reinforces rather than undercuts those guardrails</t>
        </is>
      </c>
    </row>
    <row r="5" ht="79.84999999999999" customHeight="1" s="18">
      <c r="A5" s="23" t="inlineStr">
        <is>
          <t>sect_court</t>
        </is>
      </c>
      <c r="B5" s="23" t="inlineStr">
        <is>
          <t>Arianism</t>
        </is>
      </c>
      <c r="C5" s="23" t="inlineStr">
        <is>
          <t>4th c., Alexandria / Nicaea / Constantinople</t>
        </is>
      </c>
      <c r="D5" s="23" t="inlineStr">
        <is>
          <t>Arius held Christ was created by the Father and therefore not co-eternal with him -- 'there was a time when he was not' -- condemned at Nicaea in 325, whose creed's 'begotten, not made' line exists specifically to refute him</t>
        </is>
      </c>
      <c r="E5" s="23" t="inlineStr">
        <is>
          <t>despite condemnation, Arian Christianity kept finding imperial backing anyway (Constantius II favoured a semi-Arian position) and became the dominant form among several Germanic peoples via Ulfilas's mission -- a created, subordinate Christ maps far more comfortably onto political hierarchy than a co-equal one does, which is precisely why crowns kept finding it useful</t>
        </is>
      </c>
      <c r="F5" s="23" t="inlineStr">
        <is>
          <t>'there was a time when he was not'; homoousios (the word Arianism rejected); Ulfilas</t>
        </is>
      </c>
      <c r="G5" s="23" t="inlineStr">
        <is>
          <t>none major -- this is the cleanest parallel in the set and is already well used</t>
        </is>
      </c>
    </row>
    <row r="6" ht="57.45" customHeight="1" s="18">
      <c r="A6" s="23" t="inlineStr">
        <is>
          <t>sect_coast</t>
        </is>
      </c>
      <c r="B6" s="23" t="inlineStr">
        <is>
          <t>apophatic (negative) theology + the Desert Fathers and Mothers</t>
        </is>
      </c>
      <c r="C6" s="23" t="inlineStr">
        <is>
          <t>Pseudo-Dionysius: late 5th/early 6th c. Desert Fathers: 3rd-5th c. Egypt/Syria</t>
        </is>
      </c>
      <c r="D6" s="23" t="inlineStr">
        <is>
          <t>Pseudo-Dionysius the Areopagite held God exceeds every positive statement -- you can only say what God is NOT, since any positive claim inevitably diminishes the infinite. Under this view, silence is not evasion, it is the theologically correct answer</t>
        </is>
      </c>
      <c r="E6" s="23" t="inlineStr">
        <is>
          <t>the Desert Fathers actually lived this: the Sayings of the Desert Fathers record monks answering doctrinal questions with silence, a parable, or a redirection, precisely because they had withdrawn from the church politics of their day</t>
        </is>
      </c>
      <c r="F6" s="23" t="inlineStr">
        <is>
          <t>apophatic / negative theology; Pseudo-Dionysius; the Sayings of the Desert Fathers</t>
        </is>
      </c>
      <c r="G6" s="23" t="inlineStr">
        <is>
          <t>none major</t>
        </is>
      </c>
    </row>
    <row r="8" ht="15" customHeight="1" s="18">
      <c r="A8" s="25" t="inlineStr">
        <is>
          <t>REFERENCE FOR WRITERS, not for players -- none of this is meant to surface as a direct citation in-game. The setting mirrors real Christian history rather than sourcing from it (established principle: Lesser Key motifs as mirror, not direct import), and this tab exists so dialogue and doctrine stay internally consistent with the real positions they echo. Two sects (the Continuing Word, the Company) need a second anchor because a single historical movement covers either the doctrine or the practice but not both -- that split is noted explicitly rather than smoothed over. The five real movements span the 2nd through 19th centuries; the setting compresses them into five sects arguing at the same moment, which is a deliberate choice, not a claim of period accuracy.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14" customWidth="1" style="17" min="2" max="2"/>
    <col width="60" customWidth="1" style="17" min="3" max="3"/>
    <col width="20" customWidth="1" style="17" min="4" max="4"/>
  </cols>
  <sheetData>
    <row r="1" ht="30" customHeight="1" s="18">
      <c r="A1" s="21" t="inlineStr">
        <is>
          <t>signal_id</t>
        </is>
      </c>
      <c r="B1" s="21" t="inlineStr">
        <is>
          <t>category</t>
        </is>
      </c>
      <c r="C1" s="21" t="inlineStr">
        <is>
          <t>what_it_reads</t>
        </is>
      </c>
      <c r="D1" s="21" t="inlineStr">
        <is>
          <t>status</t>
        </is>
      </c>
    </row>
    <row r="2" ht="23.85" customHeight="1" s="18">
      <c r="A2" s="23" t="inlineStr">
        <is>
          <t>sig_dispersal_ratio</t>
        </is>
      </c>
      <c r="B2" s="23" t="inlineStr">
        <is>
          <t>combat</t>
        </is>
      </c>
      <c r="C2" s="23" t="inlineStr">
        <is>
          <t>dispersal-vs-kill ratio across the run (already tracked via epithets ep_dispersal / ep_bosskill etc.)</t>
        </is>
      </c>
      <c r="D2" s="23" t="inlineStr">
        <is>
          <t>candidate -- not locked</t>
        </is>
      </c>
    </row>
    <row r="3" ht="23.85" customHeight="1" s="18">
      <c r="A3" s="23" t="inlineStr">
        <is>
          <t>sig_unstained_respected</t>
        </is>
      </c>
      <c r="B3" s="23" t="inlineStr">
        <is>
          <t>sect</t>
        </is>
      </c>
      <c r="C3" s="23" t="inlineStr">
        <is>
          <t>whether the Unstained's refusal of him was honored or steamrolled in how their chapters/paralogue resolved</t>
        </is>
      </c>
      <c r="D3" s="23" t="inlineStr">
        <is>
          <t>candidate -- not locked</t>
        </is>
      </c>
    </row>
    <row r="4" ht="23.85" customHeight="1" s="18">
      <c r="A4" s="23" t="inlineStr">
        <is>
          <t>sig_kest_restitution</t>
        </is>
      </c>
      <c r="B4" s="23" t="inlineStr">
        <is>
          <t>unit-specific</t>
        </is>
      </c>
      <c r="C4" s="23" t="inlineStr">
        <is>
          <t>how Kest's arc closes -- whether the decan token thread resolves as restitution or as one more extraction</t>
        </is>
      </c>
      <c r="D4" s="23" t="inlineStr">
        <is>
          <t>candidate -- not locked</t>
        </is>
      </c>
    </row>
    <row r="5" ht="23.85" customHeight="1" s="18">
      <c r="A5" s="23" t="inlineStr">
        <is>
          <t>sig_forge_use</t>
        </is>
      </c>
      <c r="B5" s="23" t="inlineStr">
        <is>
          <t>economy</t>
        </is>
      </c>
      <c r="C5" s="23" t="inlineStr">
        <is>
          <t>whether master-smith and forge access was used to help recruits/allies or to extract from them (ties to the 3-of-5 material cap decisions)</t>
        </is>
      </c>
      <c r="D5" s="23" t="inlineStr">
        <is>
          <t>candidate -- not locked</t>
        </is>
      </c>
    </row>
    <row r="6" ht="23.85" customHeight="1" s="18">
      <c r="A6" s="23" t="inlineStr">
        <is>
          <t>sig_defection_handling</t>
        </is>
      </c>
      <c r="B6" s="23" t="inlineStr">
        <is>
          <t>unit-specific</t>
        </is>
      </c>
      <c r="C6" s="23" t="inlineStr">
        <is>
          <t>how Maren's conditional defection was handled -- recovered through genuine amends vs. left, or worse, exploited</t>
        </is>
      </c>
      <c r="D6" s="23" t="inlineStr">
        <is>
          <t>candidate -- not locked</t>
        </is>
      </c>
    </row>
    <row r="8" ht="15" customHeight="1" s="18">
      <c r="A8" s="25" t="inlineStr">
        <is>
          <t>EXPLICITLY OPEN -- these are candidates, not a locked checklist. The final signal set and their weighting is an authored decision on the scale of 'which sect grows the Enlightened One' and belongs to its own session. Do not treat this tab as final; it exists so the dependency is visible before Act 3 chapters get drafted, same treatment as Kest's token payoff.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26" customWidth="1" style="17" min="2" max="2"/>
    <col width="20" customWidth="1" style="17" min="3" max="3"/>
    <col width="32" customWidth="1" style="17" min="4" max="4"/>
    <col width="50" customWidth="1" style="17" min="5" max="5"/>
    <col width="72" customWidth="1" style="17" min="6" max="6"/>
  </cols>
  <sheetData>
    <row r="1" ht="30" customHeight="1" s="18">
      <c r="A1" s="21" t="inlineStr">
        <is>
          <t>ending_id</t>
        </is>
      </c>
      <c r="B1" s="21" t="inlineStr">
        <is>
          <t>route</t>
        </is>
      </c>
      <c r="C1" s="21" t="inlineStr">
        <is>
          <t>name</t>
        </is>
      </c>
      <c r="D1" s="21" t="inlineStr">
        <is>
          <t>trigger</t>
        </is>
      </c>
      <c r="E1" s="21" t="inlineStr">
        <is>
          <t>premise</t>
        </is>
      </c>
      <c r="F1" s="21" t="inlineStr">
        <is>
          <t>resolution_and_aftermath</t>
        </is>
      </c>
    </row>
    <row r="2" ht="79.84999999999999" customHeight="1" s="18">
      <c r="A2" s="23" t="inlineStr">
        <is>
          <t>end_hierophant</t>
        </is>
      </c>
      <c r="B2" s="23" t="inlineStr">
        <is>
          <t>route_hierophant</t>
        </is>
      </c>
      <c r="C2" s="23" t="inlineStr">
        <is>
          <t>The Hierophant's capture (shared lead-up, not terminal)</t>
        </is>
      </c>
      <c r="D2" s="23" t="inlineStr">
        <is>
          <t>sect_id: sect_march (RESOLVED 2026-09-23, see the_hierophant tab)</t>
        </is>
      </c>
      <c r="E2" s="23" t="inlineStr">
        <is>
          <t>the movement forces one answer onto a five-way argument the game has kept deliberately plural; the defense scenario is a literal conquest -- march, forced conversion, crusade logic, not economic absorption</t>
        </is>
      </c>
      <c r="F2" s="23" t="inlineStr">
        <is>
          <t>the defense scenario ends in capture, not a kill -- the party wins the battle and the Diadem convenes a formal trial (crowned, bureaucratic state-legitimacy polity; the same machine that produces deputies off the epithet ledger now processes the largest moral choice in the game, not a special cutscene outside the system). The avatar or whoever holds the relevant commission recommends sentence. FORKS into end_hierophant_mercy or end_hierophant_execution -- see those rows for the actual terminal states.</t>
        </is>
      </c>
    </row>
    <row r="3" ht="79.84999999999999" customHeight="1" s="18">
      <c r="A3" s="23" t="inlineStr">
        <is>
          <t>end_sanctified</t>
        </is>
      </c>
      <c r="B3" s="23" t="inlineStr">
        <is>
          <t>route_enlightened_one, GOOD branch</t>
        </is>
      </c>
      <c r="C3" s="23" t="inlineStr">
        <is>
          <t>Sanctification</t>
        </is>
      </c>
      <c r="D3" s="23" t="inlineStr">
        <is>
          <t>hidden telemetry threshold -- see ascension_signals tab</t>
        </is>
      </c>
      <c r="E3" s="23" t="inlineStr">
        <is>
          <t>his ascension succeeds honestly: the debts that built his power were genuinely offered, not extracted. He becomes what his own doctrine claims to be -- grace as credit discharged by another, made literal and singular</t>
        </is>
      </c>
      <c r="F3" s="23" t="inlineStr">
        <is>
          <t>NOT a boss fight against him. The party fights the deposed patrons of the Hundred Cities -- the full Lesser Key roster, ranks and legions made literal and playable for the first time -- as they resist being absorbed into one new claim. AMBIVALENT ON PURPOSE: a true, actually-good singular god still ends the plurality the whole game has protected. Historical anchor: local gods becoming saints, folk figures, or devils under an arriving monotheism, rarely simply erased -- this is that transition, played out with real stakes and no villain on the other side</t>
        </is>
      </c>
    </row>
    <row r="4" ht="102.2" customHeight="1" s="18">
      <c r="A4" s="23" t="inlineStr">
        <is>
          <t>end_perverse</t>
        </is>
      </c>
      <c r="B4" s="23" t="inlineStr">
        <is>
          <t>route_enlightened_one, BAD branch</t>
        </is>
      </c>
      <c r="C4" s="23" t="inlineStr">
        <is>
          <t>The perverse god</t>
        </is>
      </c>
      <c r="D4" s="23" t="inlineStr">
        <is>
          <t>hidden telemetry threshold NOT met -- see ascension_signals tab</t>
        </is>
      </c>
      <c r="E4" s="23" t="inlineStr">
        <is>
          <t>his ascension is corrupted: the debts that built his power were extracted from people with no real choice. What emerges is monotheism-as-conquest rather than monotheism-as-grace</t>
        </is>
      </c>
      <c r="F4" s="23" t="inlineStr">
        <is>
          <t>the party fights HIM directly. VISUAL CONVERGENCE WITH THE IDOL, deliberate: a false godhood assembled from what was taken, same as the Hierophant's colossus -- money and certainty are different roads to the same wrong destination. AFTERMATH is denial, not martyrdom, because he is exposed while still alive rather than killed: a remnant decides the defeat was itself a hidden necessary step and continues practicing in secret. Historical anchor: Sabbatai Zevi, the 17th c. claimant given a choice between conversion to Islam and execution, who converted -- and the Donmeh, a real following who reinterpreted the conversion as part of the messianic process rather than its refutation, and continued for centuries</t>
        </is>
      </c>
    </row>
    <row r="5" ht="79.84999999999999" customHeight="1" s="18">
      <c r="A5" s="23" t="inlineStr">
        <is>
          <t>end_hierophant_mercy</t>
        </is>
      </c>
      <c r="B5" s="23" t="inlineStr">
        <is>
          <t>route_hierophant, MERCY branch</t>
        </is>
      </c>
      <c r="C5" s="23" t="inlineStr">
        <is>
          <t>Subterfuge</t>
        </is>
      </c>
      <c r="D5" s="23" t="inlineStr">
        <is>
          <t>player chooses mercy at the Kaisareia trial</t>
        </is>
      </c>
      <c r="E5" s="23" t="inlineStr">
        <is>
          <t>sparing him doesn't neutralise him -- it leaves a devoted core with no clean loss to mourn and a prophet (Methodios) who cannot accept a humiliating public capitulation as final</t>
        </is>
      </c>
      <c r="F5" s="23" t="inlineStr">
        <is>
          <t>Methodios reframes the submission as a hidden necessary descent before the true ascension (the real Nathan of Gaza's exact move after Sabbatai Zevi's conversion to Islam under threat of execution). The movement goes underground and finishes what got interrupted -- A SECOND, LATER BATTLE. Deliberately convergent iconography with end_perverse and the Idol: mercy-then-subterfuge and extraction-then-ascension are the same wrong destination reached from different starts, and reusing the visual language says so without dialogue</t>
        </is>
      </c>
    </row>
    <row r="6" ht="113.4" customHeight="1" s="18">
      <c r="A6" s="23" t="inlineStr">
        <is>
          <t>end_hierophant_execution</t>
        </is>
      </c>
      <c r="B6" s="23" t="inlineStr">
        <is>
          <t>route_hierophant, EXECUTION branch</t>
        </is>
      </c>
      <c r="C6" s="23" t="inlineStr">
        <is>
          <t>The war</t>
        </is>
      </c>
      <c r="D6" s="23" t="inlineStr">
        <is>
          <t>player chooses execution at the Kaisareia trial</t>
        </is>
      </c>
      <c r="E6" s="23" t="inlineStr">
        <is>
          <t>there is no ambiguity left for Methodios to manage quietly -- a killing reads as betrayal even without a literal broken promise, because the trial itself performed impartiality the outcome then violated</t>
        </is>
      </c>
      <c r="F6" s="23" t="inlineStr">
        <is>
          <t>not one climactic fight -- several chapters of costly, attritional maps against regions and sects that were allied or neutral an act ago, now fractured. Historical anchor: Jan Hus, promised safe conduct to defend his views before a council, tried anyway, burned in 1415 -- the betrayal ignited the Hussite Wars, two decades of grinding conflict the Hussites were never fully crushed in, forcing a negotiated settlement rather than suppression. THE ASYMMETRY: mercy keeps the cost on the party, personally, later (a second fight, the world outside stays intact); execution discharges the cost onto the world immediately and completely (a war fought by people who did nothing wrong except believe the wrong thing at the wrong moment), while the party's hands are clean of that one death mattering twice. Neither is the nice option; both are honest</t>
        </is>
      </c>
    </row>
    <row r="8" ht="15" customHeight="1" s="18">
      <c r="A8" s="25" t="inlineStr">
        <is>
          <t>FOUR terminal states now, not three -- end_hierophant is the shared lead-up (capture + trial), not itself an ending. Sanctified, Perverse, Hierophant-Mercy, Hierophant-Execution. Both the Enlightened One's fork and the Hierophant's fork now run on the same underlying principle: how the party treated people earlier determines which of two very different aftermaths follows a victory that, tactically, plays out identically either way. Tactical resolution stays fully cathartic in all four; only the aftermath framing and the presence/absence of a follow-up battle differ.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28" customWidth="1" style="17" min="2" max="2"/>
    <col width="24" customWidth="1" style="17" min="3" max="3"/>
    <col width="54" customWidth="1" style="17" min="4" max="4"/>
    <col width="24" customWidth="1" style="17" min="5" max="5"/>
    <col width="54" customWidth="1" style="17" min="6" max="6"/>
  </cols>
  <sheetData>
    <row r="1" ht="30" customHeight="1" s="18">
      <c r="A1" s="21" t="inlineStr">
        <is>
          <t>ref_id</t>
        </is>
      </c>
      <c r="B1" s="21" t="inlineStr">
        <is>
          <t>figure_or_term</t>
        </is>
      </c>
      <c r="C1" s="21" t="inlineStr">
        <is>
          <t>period</t>
        </is>
      </c>
      <c r="D1" s="21" t="inlineStr">
        <is>
          <t>the_hook</t>
        </is>
      </c>
      <c r="E1" s="21" t="inlineStr">
        <is>
          <t>status</t>
        </is>
      </c>
      <c r="F1" s="21" t="inlineStr">
        <is>
          <t>fit</t>
        </is>
      </c>
    </row>
    <row r="2" ht="35.05" customHeight="1" s="18">
      <c r="A2" s="23" t="inlineStr">
        <is>
          <t>ref_kopronymos</t>
        </is>
      </c>
      <c r="B2" s="23" t="inlineStr">
        <is>
          <t>Constantine V "Kopronymos"</t>
        </is>
      </c>
      <c r="C2" s="23" t="inlineStr">
        <is>
          <t>Byzantine imperial, 8th c.</t>
        </is>
      </c>
      <c r="D2" s="23" t="inlineStr">
        <is>
          <t>an iconoclast emperor whose opponents gave him a scatological insult-epithet ('the Dung-Named') that permanently outlived his own chosen name in the historical record</t>
        </is>
      </c>
      <c r="E2" s="23" t="inlineStr">
        <is>
          <t>assigned</t>
        </is>
      </c>
      <c r="F2" s="23" t="inlineStr">
        <is>
          <t>proof-of-concept for the three-name rule -- an enemy's insult can outlast a person's own title</t>
        </is>
      </c>
    </row>
    <row r="3" ht="35.05" customHeight="1" s="18">
      <c r="A3" s="23" t="inlineStr">
        <is>
          <t>ref_rhinotmetos</t>
        </is>
      </c>
      <c r="B3" s="23" t="inlineStr">
        <is>
          <t>Justinian II "Rhinotmetos"</t>
        </is>
      </c>
      <c r="C3" s="23" t="inlineStr">
        <is>
          <t>Byzantine imperial, 7th-8th c.</t>
        </is>
      </c>
      <c r="D3" s="23" t="inlineStr">
        <is>
          <t>deposed, nose slit (disfigurement was believed to disqualify a claimant from the throne), exiled -- then reconquered the throne years later anyway, reportedly with a gold prosthetic nose</t>
        </is>
      </c>
      <c r="E3" s="23" t="inlineStr">
        <is>
          <t>open</t>
        </is>
      </c>
      <c r="F3" s="23" t="inlineStr">
        <is>
          <t>an unclaimed origin for a Jagen or a returning legend, stranger than fiction</t>
        </is>
      </c>
    </row>
    <row r="4" ht="35.05" customHeight="1" s="18">
      <c r="A4" s="23" t="inlineStr">
        <is>
          <t>ref_photios</t>
        </is>
      </c>
      <c r="B4" s="23" t="inlineStr">
        <is>
          <t>Photios</t>
        </is>
      </c>
      <c r="C4" s="23" t="inlineStr">
        <is>
          <t>Byzantine patriarch, 9th c.</t>
        </is>
      </c>
      <c r="D4" s="23" t="inlineStr">
        <is>
          <t>author of the Bibliotheca, a catalog of hundreds of ancient books, many surviving today ONLY because he summarised them before the originals were lost</t>
        </is>
      </c>
      <c r="E4" s="23" t="inlineStr">
        <is>
          <t>open</t>
        </is>
      </c>
      <c r="F4" s="23" t="inlineStr">
        <is>
          <t>best fit found for the literacy thread -- Emmerich's requisitions-clerk role or whatever academy trained Ricberta</t>
        </is>
      </c>
    </row>
    <row r="5" ht="46.25" customHeight="1" s="18">
      <c r="A5" s="23" t="inlineStr">
        <is>
          <t>ref_john_damascus</t>
        </is>
      </c>
      <c r="B5" s="23" t="inlineStr">
        <is>
          <t>John of Damascus</t>
        </is>
      </c>
      <c r="C5" s="23" t="inlineStr">
        <is>
          <t>theologian, 8th c.</t>
        </is>
      </c>
      <c r="D5" s="23" t="inlineStr">
        <is>
          <t>wrote the major defence of icon veneration during Byzantine iconoclasm specifically because he lived under Islamic rule, outside the persecuting emperor's reach -- could say what a state-bound cleric couldn't</t>
        </is>
      </c>
      <c r="E5" s="23" t="inlineStr">
        <is>
          <t>open</t>
        </is>
      </c>
      <c r="F5" s="23" t="inlineStr">
        <is>
          <t>the Company of the Road's structural theological freedom, already lived once</t>
        </is>
      </c>
    </row>
    <row r="6" ht="35.05" customHeight="1" s="18">
      <c r="A6" s="23" t="inlineStr">
        <is>
          <t>ref_zal</t>
        </is>
      </c>
      <c r="B6" s="23" t="inlineStr">
        <is>
          <t>Zal</t>
        </is>
      </c>
      <c r="C6" s="23" t="inlineStr">
        <is>
          <t>Shahnameh, Persian epic</t>
        </is>
      </c>
      <c r="D6" s="23" t="inlineStr">
        <is>
          <t>the abandoned child the Simurgh raised and taught -- the exact myth the Simurgh pact already runs on</t>
        </is>
      </c>
      <c r="E6" s="23" t="inlineStr">
        <is>
          <t>deliberately left open</t>
        </is>
      </c>
      <c r="F6" s="23" t="inlineStr">
        <is>
          <t>too good to retrofit onto an existing unit; sitting for a future paralogue NPC or new unit slot, not bolted onto Rinsa or anyone whose arc wasn't written around being fostered</t>
        </is>
      </c>
    </row>
    <row r="7" ht="35.05" customHeight="1" s="18">
      <c r="A7" s="23" t="inlineStr">
        <is>
          <t>ref_anna_komnene</t>
        </is>
      </c>
      <c r="B7" s="23" t="inlineStr">
        <is>
          <t>Anna Komnene</t>
        </is>
      </c>
      <c r="C7" s="23" t="inlineStr">
        <is>
          <t>Byzantine princess-historian, 12th c.</t>
        </is>
      </c>
      <c r="D7" s="23" t="inlineStr">
        <is>
          <t>wrote the Alexiad about her father's reign, one of history's first women historians</t>
        </is>
      </c>
      <c r="E7" s="23" t="inlineStr">
        <is>
          <t>ASSIGNED 2026-08-21</t>
        </is>
      </c>
      <c r="F7" s="23" t="inlineStr">
        <is>
          <t>guest_units.gst_anna</t>
        </is>
      </c>
    </row>
    <row r="8" ht="46.25" customHeight="1" s="18">
      <c r="A8" s="23" t="inlineStr">
        <is>
          <t>ref_bogomils</t>
        </is>
      </c>
      <c r="B8" s="23" t="inlineStr">
        <is>
          <t>the Bogomils</t>
        </is>
      </c>
      <c r="C8" s="23" t="inlineStr">
        <is>
          <t>Balkan dualist heresy, 10th c. onward</t>
        </is>
      </c>
      <c r="D8" s="23" t="inlineStr">
        <is>
          <t>real theological content, rejected the material church and its sacraments outright</t>
        </is>
      </c>
      <c r="E8" s="23" t="inlineStr">
        <is>
          <t>UNFINISHED BUSINESS -- flagged as a candidate 5th/6th sect during the pivot and never followed up</t>
        </is>
      </c>
      <c r="F8" s="23" t="inlineStr">
        <is>
          <t>a sixth theological voice, if five readings of the absence isn't already enough</t>
        </is>
      </c>
    </row>
    <row r="9" ht="35.05" customHeight="1" s="18">
      <c r="A9" s="23" t="inlineStr">
        <is>
          <t>ref_samuil</t>
        </is>
      </c>
      <c r="B9" s="23" t="inlineStr">
        <is>
          <t>Tsar Samuil</t>
        </is>
      </c>
      <c r="C9" s="23" t="inlineStr">
        <is>
          <t>Bulgarian Empire, 10th-11th c.</t>
        </is>
      </c>
      <c r="D9" s="23" t="inlineStr">
        <is>
          <t>Basil II blinded 15,000 captured soldiers and sent them home in cohorts of 99, each led by one sighted man -- Samuil reportedly collapsed and died at the sight of their return</t>
        </is>
      </c>
      <c r="E9" s="23" t="inlineStr">
        <is>
          <t>open</t>
        </is>
      </c>
      <c r="F9" s="23" t="inlineStr">
        <is>
          <t>the darkest available image on this list -- a paralogue could be built entirely around a wound this ugly, if the tone calls for it</t>
        </is>
      </c>
    </row>
    <row r="10" ht="35.05" customHeight="1" s="18">
      <c r="A10" s="23" t="inlineStr">
        <is>
          <t>ref_methodios</t>
        </is>
      </c>
      <c r="B10" s="23" t="inlineStr">
        <is>
          <t>Methodios (Cyril and Methodios)</t>
        </is>
      </c>
      <c r="C10" s="23" t="inlineStr">
        <is>
          <t>missionary brothers, 9th c.</t>
        </is>
      </c>
      <c r="D10" s="23" t="inlineStr">
        <is>
          <t>invented a script specifically to translate scripture for people who'd never had access to it in their own tongue</t>
        </is>
      </c>
      <c r="E10" s="23" t="inlineStr">
        <is>
          <t>ASSIGNED 8/21/26</t>
        </is>
      </c>
      <c r="F10" s="23" t="inlineStr">
        <is>
          <t>npc_methodios, the Hierophant's herald -- translating a claimant's volatility into a doctrine other people can hold is the same function one degree removed</t>
        </is>
      </c>
    </row>
    <row r="12" ht="15" customHeight="1" s="18">
      <c r="A12" s="25" t="inlineStr">
        <is>
          <t>DIRECT REFERENTIALITY, in the register FE3H used for the Fomorians (Cichol, Indech, Cethleann, Conand -- undisguised Irish myth names). This tab is deliberately a mixed bag: some entries are locked, most are marked 'open' on purpose, sitting here as material worth exploring rather than content waiting to be assigned. Add to this list freely -- it's a standing rabbit-hole log, not a closed catalogue.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outlinePr summaryBelow="1" summaryRight="1"/>
    <pageSetUpPr/>
  </sheetPr>
  <dimension ref="A1:L155"/>
  <sheetViews>
    <sheetView workbookViewId="0">
      <selection activeCell="A1" sqref="A1"/>
    </sheetView>
  </sheetViews>
  <sheetFormatPr baseColWidth="8" defaultRowHeight="15"/>
  <cols>
    <col width="14" customWidth="1" style="18" min="10" max="10"/>
    <col width="14" customWidth="1" style="18" min="11" max="11"/>
  </cols>
  <sheetData>
    <row r="1">
      <c r="A1" s="17" t="inlineStr">
        <is>
          <t>chain_id</t>
        </is>
      </c>
      <c r="B1" s="17" t="inlineStr">
        <is>
          <t>unit_a_id</t>
        </is>
      </c>
      <c r="C1" s="17" t="inlineStr">
        <is>
          <t>unit_b_id</t>
        </is>
      </c>
      <c r="D1" s="17" t="inlineStr">
        <is>
          <t>sign_a</t>
        </is>
      </c>
      <c r="E1" s="17" t="inlineStr">
        <is>
          <t>sign_b</t>
        </is>
      </c>
      <c r="F1" s="17" t="inlineStr">
        <is>
          <t>romance_eligible</t>
        </is>
      </c>
      <c r="G1" s="17" t="inlineStr">
        <is>
          <t>status</t>
        </is>
      </c>
      <c r="H1" s="17" t="inlineStr">
        <is>
          <t>summary</t>
        </is>
      </c>
      <c r="I1" s="17" t="inlineStr">
        <is>
          <t>notes</t>
        </is>
      </c>
      <c r="J1" s="17" t="inlineStr">
        <is>
          <t>reveals</t>
        </is>
      </c>
      <c r="K1" s="17" t="inlineStr">
        <is>
          <t>reveals_at_rank</t>
        </is>
      </c>
      <c r="L1" s="17" t="inlineStr">
        <is>
          <t>reveals_about</t>
        </is>
      </c>
    </row>
    <row r="2">
      <c r="A2" s="17" t="inlineStr">
        <is>
          <t>New tab (2026-09-27). epilogue_generation!D9 already referenced 'the (not yet built) supports tab' -- this closes that gap. roster_gaps' own 'support grid complete at 153 chains' was a stated TARGET (every pair among the 18 main units, C(18,2)=153), not built content; that row's own wording was always a count, never a claim the chains existed. All 153 pairs are skeletoned below (status='unwritten', romance_eligible='no' by default). Prologue units (Dietmar/Torvald, both 'jagen' status) are included in the grid -- roster_gaps' own 153 figure already counts all 18, not just the 16 recruitable -- but kept off the romance-eligible set by genre convention (jagens read mentor/veteran, not romance leads, in this design's own stated FE lineage); nothing in canon.xlsx states this explicitly, flagged as an interpretive default, not a rule. Guest units (per guest_units' own note, e.g. Maren's temporary Act2/3 departure) are the 18 MAIN roster units only -- guest_units' own H2/I2 notes already say guests are 'deliberately not part of that grid' with 'no tiered support chain', so they're correctly excluded here, matching the source. 10 pairs are flagged romance_eligible='yes': 3 written in full (Ricberta/Sigrun, Kest/Rinsa, Tancred/Anselm -- two same-sex female pairs and one same-sex male pair, each using the signs tab's own pair-two-archetypes methodology, chosen and grounded per that pair's own row) and 7 flagged for a future pass (a mix of same-sex and different-sex options, plus both avatar-inclusive routes) so the romance-eligible set has real breadth on both axes, not a token queer pair alongside an otherwise-exhaustive straight roster or vice versa. The other 143 pairs are ordinary skeleton rows -- a full grid was always the target, most of it was simply never written; this pass writes 3 chains in full and marks where the next 7 romance passes and eventually the remaining ~140 platonic/rivalry/mentor chains should go, it does not claim to finish the grid. ADDENDUM (2026-09-29): the grid is now fully drafted -- all 153 chains have status='drafted'. Of these, 10 are the romance-eligible chains (C/B/A/S; spanning same-sex F/F and M/M, different-sex, and avatar-inclusive pairings, per the breadth described above) and 143 are platonic/rivalry chains written to C/B/A only, capped at A by design so that S stays reserved for the romance-flagged set. 'drafted' means a full chain has been written and grounded in each unit's own units/signs notes, not that it has been playtested, voiced, or hand-polished; every chain is a first draft. All 18 units carry a fixed sign (signs are treated as unit traits reused across chains, never reassigned per pairing), and the repeated-sign pairings (Crab/Crab, Vessel/Vessel, Lion/Lion, Goat/Goat, Scorpion/Scorpion) are deliberate mirrors argued in each chain's own notes. Kest's withheld twin-brother reveal (units.u_kest) is gestured at in a few chains but never named or resolved in any of them.</t>
        </is>
      </c>
    </row>
    <row r="3">
      <c r="A3" s="17" t="inlineStr">
        <is>
          <t>sup_avatar_jost</t>
        </is>
      </c>
      <c r="B3" s="17" t="inlineStr">
        <is>
          <t>u_avatar</t>
        </is>
      </c>
      <c r="C3" s="17" t="inlineStr">
        <is>
          <t>u_jost</t>
        </is>
      </c>
      <c r="D3" s="17" t="inlineStr">
        <is>
          <t>sgn_scorpion</t>
        </is>
      </c>
      <c r="E3" s="17" t="inlineStr">
        <is>
          <t>sgn_ram</t>
        </is>
      </c>
      <c r="F3" s="17" t="inlineStr">
        <is>
          <t>no</t>
        </is>
      </c>
      <c r="G3" s="17" t="inlineStr">
        <is>
          <t>drafted</t>
        </is>
      </c>
      <c r="H3" s="17" t="inlineStr">
        <is>
          <t>C: The avatar keeps re-litigating the decision to recruit a bandit at all, out loud, in front of Jost, apparently unaware or unbothered that he's standing right there for it. Jost, unbothered in turn, just waits for them to finish. B: The avatar admits the re-litigating isn't really about Jost -- it's the habit, they do it to every call whether it worked out or not. Jost points out that's exhausting to watch and probably worse to live inside, and offers the one thing his own approach has going for it: once a thing's decided, sleeping through the rest of the argument is free. A: The avatar admits they've never once managed to just let a decision be decided; Jost admits his own version of that isn't peace, it's refusing to spend anything on a question after the fact because spending on it before never worked either. Neither talks the other into changing. The avatar starts running fewer post-mortems out loud where Jost has to hear them; Jost starts actually staying awake for the ones that are about him.</t>
        </is>
      </c>
      <c r="I3" s="17" t="inlineStr">
        <is>
          <t>Both signs reused verbatim (Avatar=Scorpion from Avatar/Maren, Jost=Ram from Jost/Emmerich). Scorpion's failure mode ('carries it long after it stopped being useful') set directly against Ram's virtue (decisive, doesn't look back) -- two opposite relationships to a decision once it's made. Platonic chain, capped at A.</t>
        </is>
      </c>
    </row>
    <row r="4">
      <c r="A4" s="17" t="inlineStr">
        <is>
          <t>sup_avatar_ricberta</t>
        </is>
      </c>
      <c r="B4" s="17" t="inlineStr">
        <is>
          <t>u_avatar</t>
        </is>
      </c>
      <c r="C4" s="17" t="inlineStr">
        <is>
          <t>u_ricberta</t>
        </is>
      </c>
      <c r="D4" s="17" t="inlineStr">
        <is>
          <t>sgn_scorpion</t>
        </is>
      </c>
      <c r="E4" s="17" t="inlineStr">
        <is>
          <t>sgn_crab</t>
        </is>
      </c>
      <c r="F4" s="17" t="inlineStr">
        <is>
          <t>no</t>
        </is>
      </c>
      <c r="G4" s="17" t="inlineStr">
        <is>
          <t>drafted</t>
        </is>
      </c>
      <c r="H4" s="17" t="inlineStr">
        <is>
          <t>C: The avatar reviews Ricberta's levy reports and flags the handwriting as suspiciously clean for a dictated report; Ricberta deflects, badly, in a way that would fool someone with less reason to notice competence being hidden. B: The avatar doesn't push it in front of the levy, which Ricberta clocks as deliberate -- an administrator who argues everything in the open chose not to, this once. She starts wondering what else the avatar's decided not to argue about, out loud, for someone's sake. A: The avatar admits they know exactly why she's hiding it -- rank protects nothing once someone above you decides your competence is a liability, and they've watched it happen to smarter people than either of them. Ricberta, who's spent years managing the secret alone, gets the first offer of institutional cover from someone with the rank to actually make it stick: the avatar will vouch for her literacy being an asset, not a flag, whenever she decides to stop hiding it. She doesn't take the offer. She does, for the first time, believe someone meant it.</t>
        </is>
      </c>
      <c r="I4" s="17" t="inlineStr">
        <is>
          <t>Both signs reused verbatim (Avatar=Scorpion from Avatar/Maren, Ricberta=Crab from Ricberta/Sigrun). Direct tie: Ricberta's own note ('secretly literate... literacy is a deputy tiebreak') is exactly the kind of hidden-competence-as-liability the avatar's own institutional position lets them actually shield, unlike the peers who could only ever gossip about it. Platonic chain, capped at A.</t>
        </is>
      </c>
      <c r="J4" s="17" t="inlineStr">
        <is>
          <t>literacy</t>
        </is>
      </c>
      <c r="K4" s="17" t="inlineStr">
        <is>
          <t>B</t>
        </is>
      </c>
      <c r="L4" s="17" t="inlineStr">
        <is>
          <t>u_ricberta</t>
        </is>
      </c>
    </row>
    <row r="5">
      <c r="A5" s="17" t="inlineStr">
        <is>
          <t>sup_avatar_emmerich</t>
        </is>
      </c>
      <c r="B5" s="17" t="inlineStr">
        <is>
          <t>u_avatar</t>
        </is>
      </c>
      <c r="C5" s="17" t="inlineStr">
        <is>
          <t>u_emmerich</t>
        </is>
      </c>
      <c r="D5" s="17" t="inlineStr">
        <is>
          <t>sgn_scorpion</t>
        </is>
      </c>
      <c r="E5" s="17" t="inlineStr">
        <is>
          <t>sgn_lion</t>
        </is>
      </c>
      <c r="F5" s="17" t="inlineStr">
        <is>
          <t>no</t>
        </is>
      </c>
      <c r="G5" s="17" t="inlineStr">
        <is>
          <t>drafted</t>
        </is>
      </c>
      <c r="H5" s="17" t="inlineStr">
        <is>
          <t>C: The avatar keeps re-auditing Emmerich's own audits, on principle, which Emmerich reads -- correctly -- as a vote of no confidence in his single most anxious competency. B: The avatar admits the re-auditing isn't about Emmerich specifically, they do it to everyone's work, everywhere, always -- which Emmerich finds almost worse, since it means the scrutiny he's been dreading personally was never personal at all, just weather. A: The avatar concedes the point and tries something new: they ask Emmerich to flag his own uncertainties up front instead of waiting to be caught, which turns the audit from a test into a conversation. Emmerich, who has spent his whole tenure terrified of exactly this kind of scrutiny, discovers being asked is different from being checked on -- and starts actually volunteering the numbers he's least sure of, since for once nobody's using them against him.</t>
        </is>
      </c>
      <c r="I5" s="17" t="inlineStr">
        <is>
          <t>Both signs reused verbatim (Avatar=Scorpion from Avatar/Maren, Emmerich=Lion from Jost/Emmerich). Scorpion's habit of relentless scrutiny turned from adversarial to collaborative, directly defusing Lion's failure mode ('cannot take a demotion gracefully') by changing what being watched means. Platonic chain, capped at A.</t>
        </is>
      </c>
    </row>
    <row r="6">
      <c r="A6" s="17" t="inlineStr">
        <is>
          <t>sup_avatar_sigrun</t>
        </is>
      </c>
      <c r="B6" s="17" t="inlineStr">
        <is>
          <t>u_avatar</t>
        </is>
      </c>
      <c r="C6" s="17" t="inlineStr">
        <is>
          <t>u_sigrun</t>
        </is>
      </c>
      <c r="D6" s="17" t="inlineStr">
        <is>
          <t>sgn_scorpion</t>
        </is>
      </c>
      <c r="E6" s="17" t="inlineStr">
        <is>
          <t>sgn_archer</t>
        </is>
      </c>
      <c r="F6" s="17" t="inlineStr">
        <is>
          <t>no</t>
        </is>
      </c>
      <c r="G6" s="17" t="inlineStr">
        <is>
          <t>drafted</t>
        </is>
      </c>
      <c r="H6" s="17" t="inlineStr">
        <is>
          <t>C: The avatar's dispatches keep being re-sent with revisions. Sigrun ends up riding the original and the correction on the same road, one behind the other. B: She tells them the true thing at the worst moment: the ride was never the delay, the decision is. Half the couriers on the roster carry a revised copy of the same order, and the recipients don't know which to trust. A: The avatar agrees to a rule: one dispatch per decision, and any revision must be marked as a reversal. It is the first time they have committed to a decision in writing before it was final. Sigrun rides faster the next day and doesn't mention why.</t>
        </is>
      </c>
      <c r="I6" s="17" t="inlineStr">
        <is>
          <t>Both signs reused verbatim (Avatar=Scorpion from Avatar/Maren, Sigrun=Archer from Ricberta/Sigrun). Avatar is route 'both'; Sigrun is diadem. Scorpion's habit of reopening a decision costs real time once a courier is carrying it. Platonic chain, capped at A.</t>
        </is>
      </c>
    </row>
    <row r="7">
      <c r="A7" s="17" t="inlineStr">
        <is>
          <t>sup_avatar_waldrada</t>
        </is>
      </c>
      <c r="B7" s="17" t="inlineStr">
        <is>
          <t>u_avatar</t>
        </is>
      </c>
      <c r="C7" s="17" t="inlineStr">
        <is>
          <t>u_waldrada</t>
        </is>
      </c>
      <c r="D7" s="17" t="inlineStr">
        <is>
          <t>sgn_scorpion</t>
        </is>
      </c>
      <c r="E7" s="17" t="inlineStr">
        <is>
          <t>sgn_scales</t>
        </is>
      </c>
      <c r="F7" s="17" t="inlineStr">
        <is>
          <t>no</t>
        </is>
      </c>
      <c r="G7" s="17" t="inlineStr">
        <is>
          <t>drafted</t>
        </is>
      </c>
      <c r="H7" s="17" t="inlineStr">
        <is>
          <t>C: The avatar wants Waldrada's defection formally on record, decided, filed -- loyal to diadem, full stop, so the roster stops flagging her as a question mark. Waldrada tells them the filing would be a lie; she's still deciding, and has been for years. B: The avatar, who never lets a settled question stay settled, finds this almost funny -- they'd assumed endless deliberation was Waldrada's flaw and their own habit of reopening closed questions was the opposite problem. Waldrada points out it isn't the opposite at all: neither of them can leave a question alone, they just picked different questions to never finish. A: The avatar admits they reopen decided things because closing them feels like giving up the chance to get it right; Waldrada admits she's never closed hers because closing it feels like giving up the chance it was ever going to matter which way she chose. Neither one finishes deciding anything by the end. They do start comparing notes on how to live functionally inside a question that never resolves, since apparently that's both their whole method now.</t>
        </is>
      </c>
      <c r="I7" s="17" t="inlineStr">
        <is>
          <t>Both signs reused verbatim (Avatar=Scorpion from Avatar/Maren, Waldrada=Scales from Waldrada/Edda). Scorpion's failure mode ('carries it long after it stopped being useful') recognized as the same shape as Scales' failure mode ('delay disguised as deliberation') from the opposite direction -- reopening vs never closing. Platonic chain, capped at A.</t>
        </is>
      </c>
    </row>
    <row r="8">
      <c r="A8" s="17" t="inlineStr">
        <is>
          <t>sup_avatar_tancred</t>
        </is>
      </c>
      <c r="B8" s="17" t="inlineStr">
        <is>
          <t>u_avatar</t>
        </is>
      </c>
      <c r="C8" s="17" t="inlineStr">
        <is>
          <t>u_tancred</t>
        </is>
      </c>
      <c r="D8" s="17" t="inlineStr">
        <is>
          <t>sgn_scorpion</t>
        </is>
      </c>
      <c r="E8" s="17" t="inlineStr">
        <is>
          <t>sgn_goat</t>
        </is>
      </c>
      <c r="F8" s="17" t="inlineStr">
        <is>
          <t>no</t>
        </is>
      </c>
      <c r="G8" s="17" t="inlineStr">
        <is>
          <t>drafted</t>
        </is>
      </c>
      <c r="H8" s="17" t="inlineStr">
        <is>
          <t>C: The avatar asks Tancred to rule on whether one of their old decisions was a sin. Tancred says his order forgives choices; it doesn't judge them. B: The avatar argues that the decision is still unresolved. Tancred says it isn't unresolved, it's finished, and those are different things. The avatar has been treating the two as one for years. A: The avatar writes the decision down once, names it plainly, and hands it to Tancred to hold. He files it in his ledger of work done, next to the levy that decision eventually fed. The avatar stops reopening that one. It is the first decision they have ever agreed to leave finished on someone else's authority.</t>
        </is>
      </c>
      <c r="I8" s="17" t="inlineStr">
        <is>
          <t>Both signs reused verbatim (Avatar=Scorpion from Avatar/Maren, Tancred=Goat from Tancred/Anselm). Avatar is route 'both'; Tancred is diadem. Goat's habit of measuring by what was built gives Scorpion's carried grudge a place to be put down. Platonic chain, capped at A.</t>
        </is>
      </c>
    </row>
    <row r="9">
      <c r="A9" s="17" t="inlineStr">
        <is>
          <t>sup_avatar_maren</t>
        </is>
      </c>
      <c r="B9" s="17" t="inlineStr">
        <is>
          <t>u_avatar</t>
        </is>
      </c>
      <c r="C9" s="17" t="inlineStr">
        <is>
          <t>u_maren</t>
        </is>
      </c>
      <c r="D9" s="17" t="inlineStr">
        <is>
          <t>sgn_scorpion</t>
        </is>
      </c>
      <c r="E9" s="17" t="inlineStr">
        <is>
          <t>sgn_crab</t>
        </is>
      </c>
      <c r="F9" s="17" t="inlineStr">
        <is>
          <t>yes</t>
        </is>
      </c>
      <c r="G9" s="17" t="inlineStr">
        <is>
          <t>drafted</t>
        </is>
      </c>
      <c r="H9" s="17" t="inlineStr">
        <is>
          <t>C: The avatar keeps re-pushing an already-overruled requisition for more winter-dole grain. Maren, who runs the dole line, has heard every version of this argument already, from people with more rank and less follow-through. B: Maren notices the avatar doesn't stop arguing once the requisition is denied a second time -- goes over the ledgers alone, at night, still building a case nobody asked to hear again. She starts leaving the real capacity numbers where they will find them. A: The avatar admits the arguing was never strategy -- walking away from a wrong call feels like the actual failure, rank or no rank. Maren, who has watched people put on a Warden's mask specifically so they can keep making that same call without it costing them anything, tells them plainly: don't go numb to it, get useful instead -- and hands over the dole line's real numbers, unfiltered. S (romance): the avatar stops arguing to be right and starts arguing with Maren's numbers instead of past them; Maren, who pours herself out for a whole line of strangers every winter, finds the one person she doesn't have to ration the truth for.</t>
        </is>
      </c>
      <c r="I9" s="17" t="inlineStr">
        <is>
          <t>Avatar=Scorpion is new, off the avatar's own note ('level 1 administrator... voiced and argumentative'), read as someone who keeps re-raising a decision everyone else has let rank settle, which is the Scorpion's virtue ('carries the grudge that keeps everyone honest') read institutionally rather than personally. Maren=Crab is new, off her own note ('winter-dole healer' -- loyalty to the people in her line over the crown's actual allotment, the Crab's own failure mode read as triage under scarcity) -- a deliberate second Crab, distinct from Ricberta's (military/secrecy) by being medical/scarcity-driven instead. Assembly-route avatar option per the original skeleton note; the avatar's sign is treated as fixed across both avatar chains in this pass, the same convention already used for an established unit's sign (Kest, Rinsa), not reassigned per pairing.</t>
        </is>
      </c>
    </row>
    <row r="10">
      <c r="A10" s="17" t="inlineStr">
        <is>
          <t>sup_avatar_brandt</t>
        </is>
      </c>
      <c r="B10" s="17" t="inlineStr">
        <is>
          <t>u_avatar</t>
        </is>
      </c>
      <c r="C10" s="17" t="inlineStr">
        <is>
          <t>u_brandt</t>
        </is>
      </c>
      <c r="D10" s="17" t="inlineStr">
        <is>
          <t>sgn_scorpion</t>
        </is>
      </c>
      <c r="E10" s="17" t="inlineStr">
        <is>
          <t>sgn_bull</t>
        </is>
      </c>
      <c r="F10" s="17" t="inlineStr">
        <is>
          <t>no</t>
        </is>
      </c>
      <c r="G10" s="17" t="inlineStr">
        <is>
          <t>drafted</t>
        </is>
      </c>
      <c r="H10" s="17" t="inlineStr">
        <is>
          <t>C: The avatar keeps proposing improvements to Brandt's gate rotation, in detail, repeatedly, each version slightly different; Brandt holds the gate the same way regardless and lets the proposals pile up unread. B: The avatar, unused to being simply ignored rather than argued with, corners him about it. Brandt's answer is plain: the gate's held every time so far, and a new rotation on paper doesn't hold anything until it's tested, so he's not going to trade a working method for an untested one just because it's newer. A: The avatar admits the proposals were never really about the gate -- it's the habit, improving things whether or not they're broken, because standing still on a decided question feels like negligence. Brandt tells them plainly that's not negligence, that's most of what holding actually is -- deciding once, correctly, and then not needing to keep re-deciding it every day. The avatar doesn't stop proposing improvements everywhere else. They do let Brandt's gate alone, and start noticing which of their own decisions might already be as solid as his.</t>
        </is>
      </c>
      <c r="I10" s="17" t="inlineStr">
        <is>
          <t>Both signs reused verbatim (Avatar=Scorpion from Avatar/Maren, Brandt=Bull from Brandt/Solveig). Scorpion's failure mode ('carries it long after it stopped being useful') meets Bull's virtue ('holds ground nobody else could') as a direct model of a decision that doesn't need reopening. Platonic chain, capped at A.</t>
        </is>
      </c>
    </row>
    <row r="11">
      <c r="A11" s="17" t="inlineStr">
        <is>
          <t>sup_avatar_solveig</t>
        </is>
      </c>
      <c r="B11" s="17" t="inlineStr">
        <is>
          <t>u_avatar</t>
        </is>
      </c>
      <c r="C11" s="17" t="inlineStr">
        <is>
          <t>u_solveig</t>
        </is>
      </c>
      <c r="D11" s="17" t="inlineStr">
        <is>
          <t>sgn_scorpion</t>
        </is>
      </c>
      <c r="E11" s="17" t="inlineStr">
        <is>
          <t>sgn_vessel</t>
        </is>
      </c>
      <c r="F11" s="17" t="inlineStr">
        <is>
          <t>no</t>
        </is>
      </c>
      <c r="G11" s="17" t="inlineStr">
        <is>
          <t>drafted</t>
        </is>
      </c>
      <c r="H11" s="17" t="inlineStr">
        <is>
          <t>C: The avatar asks what the family prophecy actually says, on the grounds that a plan needs inputs. Solveig refuses. The avatar argues that refusing is itself a constraint they should be told about. B: Solveig explains it has never been useful for planning: it names a lamp, not an outcome. The avatar, who never lets a question drop, drops this one, which they notice and dislike. A: They ask her instead what she would want planned around. Nobody has ever asked. She names one small thing: a day off the route once a month. The avatar writes it into the schedule as a fixed constraint and treats it as immovable -- the only input in the whole roster they never revise.</t>
        </is>
      </c>
      <c r="I11" s="17" t="inlineStr">
        <is>
          <t>Both signs reused verbatim (Avatar=Scorpion from Avatar/Maren, Solveig=Vessel from Brandt/Solveig). Avatar is route 'both'; Solveig is assembly. Scorpion's habit of reopening every input meets the one input that is protected on principle. Platonic chain, capped at A.</t>
        </is>
      </c>
    </row>
    <row r="12">
      <c r="A12" s="17" t="inlineStr">
        <is>
          <t>sup_avatar_gunnar</t>
        </is>
      </c>
      <c r="B12" s="17" t="inlineStr">
        <is>
          <t>u_avatar</t>
        </is>
      </c>
      <c r="C12" s="17" t="inlineStr">
        <is>
          <t>u_gunnar</t>
        </is>
      </c>
      <c r="D12" s="17" t="inlineStr">
        <is>
          <t>sgn_scorpion</t>
        </is>
      </c>
      <c r="E12" s="17" t="inlineStr">
        <is>
          <t>sgn_goat</t>
        </is>
      </c>
      <c r="F12" s="17" t="inlineStr">
        <is>
          <t>no</t>
        </is>
      </c>
      <c r="G12" s="17" t="inlineStr">
        <is>
          <t>drafted</t>
        </is>
      </c>
      <c r="H12" s="17" t="inlineStr">
        <is>
          <t>C: The avatar drafts a plan for a hunting-line patrol and briefs it at length. Gunnar walks off mid-briefing, comes back with a dead hare, and says the plan puts the hare on the left. It was on the right. B: The avatar argues. Gunnar says he isn't disagreeing with the plan; the ground is. The avatar realizes they have spent their whole career arguing with people who can be argued with, and here is someone who doesn't argue at all. A: Gunnar shows how he reads a treeline: look first, then decide, and not the other way around. The avatar starts a field notebook with a rule -- observations first, arguments after. Some of their old disputes turn out to have been settled by looking the whole time. Gunnar says nothing about it. He just starts leaving the hare on the right.</t>
        </is>
      </c>
      <c r="I12" s="17" t="inlineStr">
        <is>
          <t>Both signs reused verbatim (Avatar=Scorpion from Avatar/Maren, Gunnar=Goat from Gunnar/Edda). Avatar is route 'both'; Gunnar is assembly. Scorpion's habit of re-litigating meets Goat's exacting craft: some questions close when observed. Platonic chain, capped at A.</t>
        </is>
      </c>
    </row>
    <row r="13">
      <c r="A13" s="17" t="inlineStr">
        <is>
          <t>sup_avatar_edda</t>
        </is>
      </c>
      <c r="B13" s="17" t="inlineStr">
        <is>
          <t>u_avatar</t>
        </is>
      </c>
      <c r="C13" s="17" t="inlineStr">
        <is>
          <t>u_edda</t>
        </is>
      </c>
      <c r="D13" s="17" t="inlineStr">
        <is>
          <t>sgn_scorpion</t>
        </is>
      </c>
      <c r="E13" s="17" t="inlineStr">
        <is>
          <t>sgn_maiden</t>
        </is>
      </c>
      <c r="F13" s="17" t="inlineStr">
        <is>
          <t>no</t>
        </is>
      </c>
      <c r="G13" s="17" t="inlineStr">
        <is>
          <t>drafted</t>
        </is>
      </c>
      <c r="H13" s="17" t="inlineStr">
        <is>
          <t>C: The avatar wants their own decisions recorded in the archive alongside everyone else's, formally, the way Edda records units' histories; Edda points out that's not really what the archive's for -- it's for the roster, not the administration. B: The avatar, who never lets a boundary like that sit unquestioned, pushes on why the distinction matters. Edda tells them plainly: a record of the decision-maker starts shaping the decisions to look good in the record, and she's not going to be party to that, even accidentally. A: The avatar admits, after arguing it six different ways, that she's right, and that the impulse to be recorded was itself a version of the thing she's protecting against -- wanting the archive to already have an opinion about them before the actual history's finished happening. Edda offers a compromise instead: she'll record the decisions, not the decider, no names attached until much later, when there's enough distance to write it honestly. The avatar, for once, stops arguing and takes the compromise exactly as given.</t>
        </is>
      </c>
      <c r="I13" s="17" t="inlineStr">
        <is>
          <t>Both signs reused verbatim (Avatar=Scorpion from Avatar/Maren, Edda=Maiden from Waldrada/Edda). Scorpion's compulsion to keep re-raising a settled question meets Maiden's own discipline (accuracy over flattery) directly -- one of the only chains where the avatar loses an argument cleanly and accepts it. Platonic chain, capped at A.</t>
        </is>
      </c>
    </row>
    <row r="14">
      <c r="A14" s="17" t="inlineStr">
        <is>
          <t>sup_avatar_anselm</t>
        </is>
      </c>
      <c r="B14" s="17" t="inlineStr">
        <is>
          <t>u_avatar</t>
        </is>
      </c>
      <c r="C14" s="17" t="inlineStr">
        <is>
          <t>u_anselm</t>
        </is>
      </c>
      <c r="D14" s="17" t="inlineStr">
        <is>
          <t>sgn_scorpion</t>
        </is>
      </c>
      <c r="E14" s="17" t="inlineStr">
        <is>
          <t>sgn_fishes</t>
        </is>
      </c>
      <c r="F14" s="17" t="inlineStr">
        <is>
          <t>no</t>
        </is>
      </c>
      <c r="G14" s="17" t="inlineStr">
        <is>
          <t>drafted</t>
        </is>
      </c>
      <c r="H14" s="17" t="inlineStr">
        <is>
          <t>C: The avatar demands Anselm state a position on the schism. Anselm gives three, each with its strongest objection attached, and declines to rank them. B: The avatar cross-examines all three and finds every answer full, honest, and impossible to pin. They have argued with obstinate people and evasive people; they have never argued with someone who concedes everything and still cannot be moved. A: The avatar admits, with some irritation, that it's an unfamiliar feeling. Anselm says he does hold exactly one position: that the argument should go on. The avatar realizes that's their own creed, arrived at from the opposite direction -- they keep arguing because nothing is closed, he because nothing is certain. They agree to keep disagreeing, on the record, and both find it restful.</t>
        </is>
      </c>
      <c r="I14" s="17" t="inlineStr">
        <is>
          <t>Both signs reused verbatim (Avatar=Scorpion from Avatar/Maren, Anselm=Fishes from Tancred/Anselm). Cross-route (avatar is route 'both'; Anselm is assembly). Scorpion's habit of re-raising a question meets Fishes' refusal to close one -- the same creed from opposite failure modes. Platonic chain, capped at A.</t>
        </is>
      </c>
    </row>
    <row r="15">
      <c r="A15" s="17" t="inlineStr">
        <is>
          <t>sup_avatar_kheldar</t>
        </is>
      </c>
      <c r="B15" s="17" t="inlineStr">
        <is>
          <t>u_avatar</t>
        </is>
      </c>
      <c r="C15" s="17" t="inlineStr">
        <is>
          <t>u_kheldar</t>
        </is>
      </c>
      <c r="D15" s="17" t="inlineStr">
        <is>
          <t>sgn_scorpion</t>
        </is>
      </c>
      <c r="E15" s="17" t="inlineStr">
        <is>
          <t>sgn_scorpion</t>
        </is>
      </c>
      <c r="F15" s="17" t="inlineStr">
        <is>
          <t>no</t>
        </is>
      </c>
      <c r="G15" s="17" t="inlineStr">
        <is>
          <t>drafted</t>
        </is>
      </c>
      <c r="H15" s="17" t="inlineStr">
        <is>
          <t>C: The avatar finds out Kheldar keeps a private ledger of who owes him what, and demands to see it. Kheldar says nobody sees it. The avatar says everything on the roster gets audited, and points out that the demand is not a request. B: Kheldar shows it, mostly to see the avatar's face. It holds surprisingly few debts he has ever collected; most he has never called in. The avatar recognizes the habit at once: a grudge kept as a safeguard rather than a weapon, held so that nobody around him can afford to lie. A: They argue about the point at which a grudge stops being useful. The avatar admits a couple of theirs went bad long ago and they keep carrying them anyway. Kheldar admits the oldest debt in the ledger is one he would rather have forgiven than collected. They agree to audit each other's books once a season: two people who never let a debt go are the only ones qualified to tell when one should be.</t>
        </is>
      </c>
      <c r="I15" s="17" t="inlineStr">
        <is>
          <t>Both units already carry the Scorpion sign (Avatar from Avatar/Maren, Kheldar from Kheldar/Kest) -- a fifth sign-mirror pairing, argued as one grudge-keeper who keeps them for accountability and one who keeps them for leverage. Both route 'both'. Platonic chain, capped at A.</t>
        </is>
      </c>
    </row>
    <row r="16">
      <c r="A16" s="17" t="inlineStr">
        <is>
          <t>sup_avatar_dietmar</t>
        </is>
      </c>
      <c r="B16" s="17" t="inlineStr">
        <is>
          <t>u_avatar</t>
        </is>
      </c>
      <c r="C16" s="17" t="inlineStr">
        <is>
          <t>u_dietmar</t>
        </is>
      </c>
      <c r="D16" s="17" t="inlineStr">
        <is>
          <t>sgn_scorpion</t>
        </is>
      </c>
      <c r="E16" s="17" t="inlineStr">
        <is>
          <t>sgn_lion</t>
        </is>
      </c>
      <c r="F16" s="17" t="inlineStr">
        <is>
          <t>no</t>
        </is>
      </c>
      <c r="G16" s="17" t="inlineStr">
        <is>
          <t>drafted</t>
        </is>
      </c>
      <c r="H16" s="17" t="inlineStr">
        <is>
          <t>C: The avatar asks Dietmar, bluntly, whether the gate-holding deed is a real strategic priority or a favor to an old soldier's ego. Dietmar, who has spent the obsolescence arc waiting for exactly this question and dreading it, doesn't dodge -- he just doesn't answer it either. B: The avatar keeps pushing, the way they push everything, and Dietmar finally admits he doesn't know the honest answer himself, which unsettles him more than the accusation would have. The avatar, who has never once let an unresolved question sit, recognizes something familiar in a man who's been avoiding his own for longer than the avatar's been alive. A: Dietmar admits the deed matters to him whether or not it's the correct use of the diadem's resources, and that not knowing which is the actual failure of the obsolescence, not the fading itself. The avatar, whose whole method is arguing until something resolves, doesn't resolve it for him -- just tells him some questions are worth keeping open on purpose, since a man who stops asking whether he still matters is worse off than one who keeps asking and doesn't like the answer yet. Dietmar takes the deed anyway. He stops needing it to be the right call to be worth doing.</t>
        </is>
      </c>
      <c r="I16" s="17" t="inlineStr">
        <is>
          <t>Both signs reused verbatim (Avatar=Scorpion from Avatar/Maren, Dietmar=Lion from Dietmar/Torvald). Scorpion's virtue ('carries the grudge that keeps everyone honest') applied to an institutional question rather than a personal one, directly confronting Lion's failure mode ('cannot take a demotion gracefully'). Platonic chain, capped at A.</t>
        </is>
      </c>
    </row>
    <row r="17">
      <c r="A17" s="17" t="inlineStr">
        <is>
          <t>sup_avatar_torvald</t>
        </is>
      </c>
      <c r="B17" s="17" t="inlineStr">
        <is>
          <t>u_avatar</t>
        </is>
      </c>
      <c r="C17" s="17" t="inlineStr">
        <is>
          <t>u_torvald</t>
        </is>
      </c>
      <c r="D17" s="17" t="inlineStr">
        <is>
          <t>sgn_scorpion</t>
        </is>
      </c>
      <c r="E17" s="17" t="inlineStr">
        <is>
          <t>sgn_crab</t>
        </is>
      </c>
      <c r="F17" s="17" t="inlineStr">
        <is>
          <t>no</t>
        </is>
      </c>
      <c r="G17" s="17" t="inlineStr">
        <is>
          <t>drafted</t>
        </is>
      </c>
      <c r="H17" s="17" t="inlineStr">
        <is>
          <t>C: The avatar keeps trying to formally reassign Torvald to somewhere with an actual current mission, citing efficiency; Torvald keeps declining, politely, without explanation, every time it comes up. B: The avatar, unable to let an unresolved assignment sit, pushes for the reasoning. Torvald finally gives it: his post isn't a mission he was assigned, it's the last thing connecting him to men who don't exist anymore, and reassigning him would sever that on paper the way the plague already severed it in fact. A: The avatar, whose whole method is arguing a thing until it resolves, doesn't argue with this one. They admit efficiency was never actually the point of the proposal, it was the same compulsion that makes them re-litigate everything -- an unclosed assignment nagged at them the way an unclosed question always does. Torvald tells them some things aren't inefficiency, they're just what's left, and not everything left needs resolving into a cleaner shape. The avatar leaves the assignment as it is. It's one of the only unresolved things on record they've ever let stay that way on purpose.</t>
        </is>
      </c>
      <c r="I17" s="17" t="inlineStr">
        <is>
          <t>Both signs reused verbatim (Avatar=Scorpion from Avatar/Maren, Torvald=Crab from Dietmar/Torvald). Scorpion's compulsion to resolve everything meets the one situation where resolving it would be the actual harm -- Crab's loyalty read as something that shouldn't be optimized away. Platonic chain, capped at A.</t>
        </is>
      </c>
    </row>
    <row r="18">
      <c r="A18" s="17" t="inlineStr">
        <is>
          <t>sup_avatar_rinsa</t>
        </is>
      </c>
      <c r="B18" s="17" t="inlineStr">
        <is>
          <t>u_avatar</t>
        </is>
      </c>
      <c r="C18" s="17" t="inlineStr">
        <is>
          <t>u_rinsa</t>
        </is>
      </c>
      <c r="D18" s="17" t="inlineStr">
        <is>
          <t>sgn_scorpion</t>
        </is>
      </c>
      <c r="E18" s="17" t="inlineStr">
        <is>
          <t>sgn_vessel</t>
        </is>
      </c>
      <c r="F18" s="17" t="inlineStr">
        <is>
          <t>no</t>
        </is>
      </c>
      <c r="G18" s="17" t="inlineStr">
        <is>
          <t>drafted</t>
        </is>
      </c>
      <c r="H18" s="17" t="inlineStr">
        <is>
          <t>C: The avatar wants Rinsa's account of the descent formally, for the record, the way they want everything -- structured, arguable, citable. Rinsa gives them the same answer she gives everyone: the descent isn't the kind of thing that survives being made into an argument. B: The avatar, who has never once accepted 'some things don't reduce to a case' as a real answer, keeps pressing, and Rinsa finally asks them plainly what they're actually trying to settle. The avatar admits it's the Venerated question -- they need it to be decidable, because the whole administration they're running depends on eventually deciding it. A: Rinsa tells them the descent doesn't decide anything either, it just goes down and comes back, same as it always has, for anyone -- the deciding was never hers to do, only the witnessing. The avatar, whose entire method is deciding things, has to sit with a source who refuses to resolve into a verdict on command. It doesn't change the avatar's strategy. It does change how they ask the next question, and the one after that -- less like a case to close, more like a person they're actually listening to.</t>
        </is>
      </c>
      <c r="I18" s="17" t="inlineStr">
        <is>
          <t>Avatar=Scorpion reused from Avatar/Maren. Rinsa's own already-stated sign, the Vessel, reused verbatim. Direct tie to the endgame: Rinsa's own note calls her 'the only unit who has BEEN down there' regarding whether the Venerated is dead, and the avatar's own note ('voiced and argumentative') makes them exactly the kind of person who'd try to litigate that fact instead of just receiving it. Platonic chain, capped at A.</t>
        </is>
      </c>
    </row>
    <row r="19">
      <c r="A19" s="17" t="inlineStr">
        <is>
          <t>sup_avatar_kest</t>
        </is>
      </c>
      <c r="B19" s="17" t="inlineStr">
        <is>
          <t>u_avatar</t>
        </is>
      </c>
      <c r="C19" s="17" t="inlineStr">
        <is>
          <t>u_kest</t>
        </is>
      </c>
      <c r="D19" s="17" t="inlineStr">
        <is>
          <t>sgn_scorpion</t>
        </is>
      </c>
      <c r="E19" s="17" t="inlineStr">
        <is>
          <t>sgn_twins</t>
        </is>
      </c>
      <c r="F19" s="17" t="inlineStr">
        <is>
          <t>yes</t>
        </is>
      </c>
      <c r="G19" s="17" t="inlineStr">
        <is>
          <t>drafted</t>
        </is>
      </c>
      <c r="H19" s="17" t="inlineStr">
        <is>
          <t>C: Kest cases the avatar's own field desk out of habit before she's decided whether to join at all. The avatar catches her at it and, instead of reporting it, asks what she'd have taken. B: The avatar keeps re-litigating a call from chapters back -- a defection let stand, a resource not seized -- out loud, to no one in particular. Kest recognizes the arguing-with-someone-not-there rhythm immediately and says nothing, which is its own kind of recognition. A: Pressed, the avatar admits the second-guessing isn't doubt about the decision, it's refusing to let a bad outcome go unexamined just because it's over. Kest, still withholding her own reason for the same habit, offers only that she used to think the arguing meant something was wrong with her. The avatar's answer -- that it just means the argument mattered enough to keep -- is the first thing anyone's said about it that isn't trying to fix her. S (romance): the avatar's grudge against its own decisions and Kest's grudge against her own survival stop being separate arguments -- two people who never let a thing go finally aim it at the same target instead of at themselves.</t>
        </is>
      </c>
      <c r="I19" s="17" t="inlineStr">
        <is>
          <t>Kest's sign (the Twins) is her own already-stated sign, reused verbatim, not reassigned -- same treatment as in the Rinsa/Kest chain. Avatar=Scorpion reused from the Avatar/Maren chain above (see that chain's note for the grounding). Diadem-route avatar option per the original skeleton note.</t>
        </is>
      </c>
    </row>
    <row r="20">
      <c r="A20" s="17" t="inlineStr">
        <is>
          <t>sup_jost_ricberta</t>
        </is>
      </c>
      <c r="B20" s="17" t="inlineStr">
        <is>
          <t>u_jost</t>
        </is>
      </c>
      <c r="C20" s="17" t="inlineStr">
        <is>
          <t>u_ricberta</t>
        </is>
      </c>
      <c r="D20" s="17" t="inlineStr">
        <is>
          <t>sgn_ram</t>
        </is>
      </c>
      <c r="E20" s="17" t="inlineStr">
        <is>
          <t>sgn_crab</t>
        </is>
      </c>
      <c r="F20" s="17" t="inlineStr">
        <is>
          <t>no</t>
        </is>
      </c>
      <c r="G20" s="17" t="inlineStr">
        <is>
          <t>drafted</t>
        </is>
      </c>
      <c r="H20" s="17" t="inlineStr">
        <is>
          <t>C: Ricberta doesn't trust the ford bandit the diadem just recruited, says so to his face, and expects him to either sulk or lie about it. Jost does neither -- agrees with her, cheerfully, and goes back to sleep. B: Jost keeps proving decisive exactly when the levy needs it and useless every other moment, which Ricberta, who's spent her whole career being the useful one nobody notices, finds harder to forgive than if he were simply bad at the job. A: Ricberta admits what actually bothers her -- Jost gets to be exactly what he is, unpolished and unbothered, while she's spent years managing a secret just to keep her post. Jost's answer surprises her: he tells her the sleeping is the only unpolished thing about him left, the rest -- the timing, the read on a fight -- he built on purpose, the same as she built her reading in secret; it just doesn't look like work from the outside. Ricberta stops mistaking his ease for laziness, and starts running her levy's ambush drills past him first.</t>
        </is>
      </c>
      <c r="I20" s="17" t="inlineStr">
        <is>
          <t>Both signs reused verbatim from their own established chains (Jost=Ram from Jost/Emmerich, Ricberta=Crab from Ricberta/Sigrun). Both diadem-route, ch_d02/ch_d03 -- a freshly-recruited ex-bandit and the levy sergeant who has every institutional reason to distrust him. Platonic chain, capped at A.</t>
        </is>
      </c>
    </row>
    <row r="21">
      <c r="A21" s="17" t="inlineStr">
        <is>
          <t>sup_jost_emmerich</t>
        </is>
      </c>
      <c r="B21" s="17" t="inlineStr">
        <is>
          <t>u_jost</t>
        </is>
      </c>
      <c r="C21" s="17" t="inlineStr">
        <is>
          <t>u_emmerich</t>
        </is>
      </c>
      <c r="D21" s="17" t="inlineStr">
        <is>
          <t>sgn_ram</t>
        </is>
      </c>
      <c r="E21" s="17" t="inlineStr">
        <is>
          <t>sgn_lion</t>
        </is>
      </c>
      <c r="F21" s="17" t="inlineStr">
        <is>
          <t>yes</t>
        </is>
      </c>
      <c r="G21" s="17" t="inlineStr">
        <is>
          <t>drafted</t>
        </is>
      </c>
      <c r="H21" s="17" t="inlineStr">
        <is>
          <t>C: Emmerich's requisition ledgers keep coming up short after Jost's unit passes through. Jost's defense: he only takes what the count had already lost, not what's tracked -- which Emmerich hears as a personal insult to his ledger's accuracy. B: Jost, constitutionally unable to sit through Emmerich's line-by-line reconciliation meetings, starts falling asleep in them -- except Emmerich notices he only sleeps through the parts that don't matter, and stays sharp the instant a real number comes up. A: Emmerich admits the tidy showcase reports are half theater -- the Baron needs the diadem line to look competent more than he needs it accurate, and Emmerich is the one stuck producing both at once, terrified of the day the gap shows. Jost's answer isn't reassurance, it's a second set of eyes: he starts double-checking Emmerich's counts himself, badly, at a bandit's honest pace, so someone besides Emmerich is watching the real number. S (romance): Jost stops treating the ledger as a thing to raid and starts treating it as Emmerich's, specifically; Emmerich stops needing the Baron's audience once Jost's sloppy, loyal recount is the one he actually trusts.</t>
        </is>
      </c>
      <c r="I21" s="17" t="inlineStr">
        <is>
          <t>Jost=Ram is new, off his own note ('ford bandit; lucky sleeper' -- decisive the instant an ambush needs him, constitutionally unable to sit still for anything that isn't one -- the Ram's virtue/failure pair exactly). Emmerich=Lion is new, off his own note ('requisitions clerk; Baron showcase' -- a subordinate whose composure depends on being visibly valued by a superior; the Lion's failure mode, 'cannot take a demotion gracefully,' would hit him hardest of anyone on the roster). Both diadem-route (ch_d02/ch_d03), consistent with the original skeleton note.</t>
        </is>
      </c>
    </row>
    <row r="22">
      <c r="A22" s="17" t="inlineStr">
        <is>
          <t>sup_jost_sigrun</t>
        </is>
      </c>
      <c r="B22" s="17" t="inlineStr">
        <is>
          <t>u_jost</t>
        </is>
      </c>
      <c r="C22" s="17" t="inlineStr">
        <is>
          <t>u_sigrun</t>
        </is>
      </c>
      <c r="D22" s="17" t="inlineStr">
        <is>
          <t>sgn_ram</t>
        </is>
      </c>
      <c r="E22" s="17" t="inlineStr">
        <is>
          <t>sgn_archer</t>
        </is>
      </c>
      <c r="F22" s="17" t="inlineStr">
        <is>
          <t>no</t>
        </is>
      </c>
      <c r="G22" s="17" t="inlineStr">
        <is>
          <t>drafted</t>
        </is>
      </c>
      <c r="H22" s="17" t="inlineStr">
        <is>
          <t>C: Sigrun keeps trying to wake Jost with urgent dispatches and he sleeps through every one -- until the single dispatch that actually matters, at which point he is up before she's finished the sentence. She can't work out how he knows. B: Jost admits he doesn't know either; he only wakes for the ones with people in them. Sigrun realizes she's been sorting her riding by urgency and he's been sorting by stakes, and neither of them ever compared notes. A: Sigrun, who says the true thing at the worst moment, tells him his sleeping is a bet that someone else will hold the line while he's out. Jost doesn't deny it -- he says the bet mostly pays because her dispatches are honest about which ones matter, and he's never had a courier he trusted that much. She starts tagging her dispatches by who's in them instead of how fast they need to go. He stops sleeping through the ones she tags.</t>
        </is>
      </c>
      <c r="I22" s="17" t="inlineStr">
        <is>
          <t>Both signs reused verbatim (Jost=Ram from Jost/Emmerich, Sigrun=Archer from Ricberta/Sigrun). Both diadem-route (ch_d03/ch_d01). Ram's decisive-under-pressure virtue read as a filter for stakes rather than speed; Archer's failure mode ('says the true thing at the worst moment') is the mechanism that names the bet. Platonic chain, capped at A.</t>
        </is>
      </c>
    </row>
    <row r="23">
      <c r="A23" s="17" t="inlineStr">
        <is>
          <t>sup_jost_waldrada</t>
        </is>
      </c>
      <c r="B23" s="17" t="inlineStr">
        <is>
          <t>u_jost</t>
        </is>
      </c>
      <c r="C23" s="17" t="inlineStr">
        <is>
          <t>u_waldrada</t>
        </is>
      </c>
      <c r="D23" s="17" t="inlineStr">
        <is>
          <t>sgn_ram</t>
        </is>
      </c>
      <c r="E23" s="17" t="inlineStr">
        <is>
          <t>sgn_scales</t>
        </is>
      </c>
      <c r="F23" s="17" t="inlineStr">
        <is>
          <t>no</t>
        </is>
      </c>
      <c r="G23" s="17" t="inlineStr">
        <is>
          <t>drafted</t>
        </is>
      </c>
      <c r="H23" s="17" t="inlineStr">
        <is>
          <t>C: Waldrada, still weighing a decision from years back, asks Jost how he ever manages to just act without running the whole calculation first. Jost's answer -- he doesn't run any calculation, ever -- sounds to her like either the freest thing she's heard or the most reckless. B: Jost admits the not-calculating isn't really freedom, it's that the one time he did calculate carefully, it went wrong anyway, so he stopped trusting the math. Waldrada, whose whole method is trusting the math forever without ever finishing it, recognizes a version of her own problem running in the opposite direction -- both of them let one bad outcome decide how they'd handle every decision after. A: Waldrada admits she's never actually let the defection be finished because finishing it would mean living with whichever answer she picked, good or bad, same as Jost avoiding the calculation because he can't stand living with a wrong one. Jost tells her plainly that a decided thing, even a wrong one, is still lighter to carry than an undecided one forever -- he knows, because he's spent years proving it by carrying nothing at all. Neither fixes the other's method. Waldrada starts letting some smaller questions actually close. Jost starts running the calculation on the ones that are worth it.</t>
        </is>
      </c>
      <c r="I23" s="17" t="inlineStr">
        <is>
          <t>Both signs reused verbatim (Jost=Ram from Jost/Emmerich, Waldrada=Scales from Waldrada/Edda). Ram's virtue (decisive, doesn't look back) and Scales' failure mode ('delay disguised as deliberation') both traced back to the same root: a single bad outcome that taught each of them the wrong lesson about deciding at all. Platonic chain, capped at A.</t>
        </is>
      </c>
    </row>
    <row r="24">
      <c r="A24" s="17" t="inlineStr">
        <is>
          <t>sup_jost_tancred</t>
        </is>
      </c>
      <c r="B24" s="17" t="inlineStr">
        <is>
          <t>u_jost</t>
        </is>
      </c>
      <c r="C24" s="17" t="inlineStr">
        <is>
          <t>u_tancred</t>
        </is>
      </c>
      <c r="D24" s="17" t="inlineStr">
        <is>
          <t>sgn_ram</t>
        </is>
      </c>
      <c r="E24" s="17" t="inlineStr">
        <is>
          <t>sgn_goat</t>
        </is>
      </c>
      <c r="F24" s="17" t="inlineStr">
        <is>
          <t>no</t>
        </is>
      </c>
      <c r="G24" s="17" t="inlineStr">
        <is>
          <t>drafted</t>
        </is>
      </c>
      <c r="H24" s="17" t="inlineStr">
        <is>
          <t>C: Tancred, fresh into the Pardoner line and taking absolution seriously, corners Jost about whether he regrets the banditry. Jost's honest answer -- not really, it kept him fed -- is not the answer Tancred was hoping to practice forgiving. B: Jost, watching Tancred grind through the Pardoner line's unglamorous requirements with real effort, admits he doesn't understand doing hard, boring work for a payoff that's mostly spiritual. Tancred doesn't try to convert him; he just keeps climbing, visibly, in front of Jost, which needles Jost more than a sermon would have. A: Jost admits the sleeping was never really laziness -- it's that trying and failing at something that mattered once cost him more than he could afford to keep paying, so he stopped trying at anything he couldn't walk away from clean. Tancred, who measures people by what they build rather than what they've survived, tells him the climbing doesn't have to be for something -- his own is mostly just proof he's still capable of it. Jost doesn't take up the climb. He does start showing up to watch, which is its own kind of practice.</t>
        </is>
      </c>
      <c r="I24" s="17" t="inlineStr">
        <is>
          <t>Both signs reused verbatim (Jost=Ram from Jost/Emmerich, Tancred=Goat from Tancred/Anselm). Both diadem-route village-adjacent recruits (ch_d03), opposite relationships to their own pasts -- Jost's own note ('lucky sleeper') read as someone who stopped trying at anything he couldn't walk away from clean, set against Tancred's own note ('Pardoner line') as someone who took up trying, deliberately, as its own discipline. Platonic chain, capped at A.</t>
        </is>
      </c>
    </row>
    <row r="25">
      <c r="A25" s="17" t="inlineStr">
        <is>
          <t>sup_jost_maren</t>
        </is>
      </c>
      <c r="B25" s="17" t="inlineStr">
        <is>
          <t>u_jost</t>
        </is>
      </c>
      <c r="C25" s="17" t="inlineStr">
        <is>
          <t>u_maren</t>
        </is>
      </c>
      <c r="D25" s="17" t="inlineStr">
        <is>
          <t>sgn_ram</t>
        </is>
      </c>
      <c r="E25" s="17" t="inlineStr">
        <is>
          <t>sgn_crab</t>
        </is>
      </c>
      <c r="F25" s="17" t="inlineStr">
        <is>
          <t>no</t>
        </is>
      </c>
      <c r="G25" s="17" t="inlineStr">
        <is>
          <t>drafted</t>
        </is>
      </c>
      <c r="H25" s="17" t="inlineStr">
        <is>
          <t>C: Jost turns up at the dole line and falls asleep on the crates. Maren, running triage on thin supplies, has no patience for anyone who is neither working nor queuing, and says so. B: The first time a child collapses in the queue, Jost is on his feet and across the yard before Maren has finished turning around. She files the timing away -- nobody on her staff moves that fast, and nobody on her staff sleeps that well between. A: Maren tells him triage is exactly what he already does by instinct, minus the name for it, and offers him a place on the emergency rota only: on call, sleeping allowed between. Jost admits it's the first job that fits the way he actually is instead of the way anyone wanted him to be. Maren, whose loyalty shows in who she gives her real attention to, finds she's given a bandit her second key to the stores.</t>
        </is>
      </c>
      <c r="I25" s="17" t="inlineStr">
        <is>
          <t>Both signs reused verbatim (Jost=Ram from Jost/Emmerich, Maren=Crab from Avatar/Maren). Cross-route (diadem/assembly), post-convergence. Ram's virtue (decisive under pressure) meets Crab's practical loyalty: an on-call role that turns the 'lucky sleeper' note into a working asset. Platonic chain, capped at A.</t>
        </is>
      </c>
    </row>
    <row r="26">
      <c r="A26" s="17" t="inlineStr">
        <is>
          <t>sup_jost_brandt</t>
        </is>
      </c>
      <c r="B26" s="17" t="inlineStr">
        <is>
          <t>u_jost</t>
        </is>
      </c>
      <c r="C26" s="17" t="inlineStr">
        <is>
          <t>u_brandt</t>
        </is>
      </c>
      <c r="D26" s="17" t="inlineStr">
        <is>
          <t>sgn_ram</t>
        </is>
      </c>
      <c r="E26" s="17" t="inlineStr">
        <is>
          <t>sgn_bull</t>
        </is>
      </c>
      <c r="F26" s="17" t="inlineStr">
        <is>
          <t>no</t>
        </is>
      </c>
      <c r="G26" s="17" t="inlineStr">
        <is>
          <t>drafted</t>
        </is>
      </c>
      <c r="H26" s="17" t="inlineStr">
        <is>
          <t>C: Jost, newly diadem, meets Brandt on a joint assembly-diadem detail and clocks him immediately as the kind of soldier who'd have made his old ford ambushes a lot harder. Brandt, unbothered by being sized up by a reformed bandit, agrees, and asks if that's a compliment or a complaint. B: Jost admits it's a compliment, mostly -- he respects competence he can't get around, more than he respects competence he can. Brandt, who's used to being underestimated rather than flattered, doesn't quite know what to do with being professionally admired by a man who used to rob people for a living. A: Jost explains the respect plainly: Brandt's the kind of obstacle that would have made him actually plan instead of just getting lucky and sleeping through the rest, and Jost's spent his whole life avoiding exactly that kind of pressure. Brandt tells him that's not nothing -- most people never find out what they'd be if the easy way stopped working, and Jost's at least honest enough to know he never found out either. It's not quite a friendship. It's two men being plainly useful to each other's self-assessment, which for both of them is rarer than friendship.</t>
        </is>
      </c>
      <c r="I26" s="17" t="inlineStr">
        <is>
          <t>Both signs reused verbatim (Jost=Ram from Jost/Emmerich, Brandt=Bull from Brandt/Solveig). Cross-route (diadem/assembly), post-convergence. Platonic chain, capped at A.</t>
        </is>
      </c>
    </row>
    <row r="27">
      <c r="A27" s="17" t="inlineStr">
        <is>
          <t>sup_jost_solveig</t>
        </is>
      </c>
      <c r="B27" s="17" t="inlineStr">
        <is>
          <t>u_jost</t>
        </is>
      </c>
      <c r="C27" s="17" t="inlineStr">
        <is>
          <t>u_solveig</t>
        </is>
      </c>
      <c r="D27" s="17" t="inlineStr">
        <is>
          <t>sgn_ram</t>
        </is>
      </c>
      <c r="E27" s="17" t="inlineStr">
        <is>
          <t>sgn_vessel</t>
        </is>
      </c>
      <c r="F27" s="17" t="inlineStr">
        <is>
          <t>no</t>
        </is>
      </c>
      <c r="G27" s="17" t="inlineStr">
        <is>
          <t>drafted</t>
        </is>
      </c>
      <c r="H27" s="17" t="inlineStr">
        <is>
          <t>C: Jost, half-asleep as usual, asks Solveig what it's like to already know how a flight's going to go before you take off. Solveig, prickly about the prophecy, tells him it isn't like that at all -- then admits she's never actually been asked the honest version of that question before. B: Solveig watches Jost sleep through the parts of a briefing that don't matter and snap awake the instant something does, and asks how he decides which is which without ever seeming to decide anything. Jost's answer -- he doesn't decide, it just arrives -- sounds uncomfortably close to her own family's account of the prophecy, except his always seems to serve him and hers never asks what she wants. A: Jost admits the sleeping isn't really about instinct, it's that deciding things in advance never worked out for him, so he stopped bothering and let the moment do the deciding instead -- which is either wisdom or the same trap her family's in, and he's honestly not sure which. Solveig, who has spent her whole life being handed an answer she didn't get to earn, tells him that not-deciding is a kind of freedom she's never once had, prophecy or no prophecy -- and asks him, seriously this time, to teach her how he does it, on purpose, instead of by accident.</t>
        </is>
      </c>
      <c r="I27" s="17" t="inlineStr">
        <is>
          <t>Both signs reused verbatim (Jost=Ram from Jost/Emmerich, Solveig=Vessel from Brandt/Solveig). Cross-route (diadem/assembly), post-convergence. Ram's virtue read as decisiveness-without-premeditation, set directly against Vessel's failure mode ('belongs to everyone and therefore to nobody') -- inherited certainty vs earned spontaneity. Platonic chain, capped at A.</t>
        </is>
      </c>
    </row>
    <row r="28">
      <c r="A28" s="17" t="inlineStr">
        <is>
          <t>sup_jost_gunnar</t>
        </is>
      </c>
      <c r="B28" s="17" t="inlineStr">
        <is>
          <t>u_jost</t>
        </is>
      </c>
      <c r="C28" s="17" t="inlineStr">
        <is>
          <t>u_gunnar</t>
        </is>
      </c>
      <c r="D28" s="17" t="inlineStr">
        <is>
          <t>sgn_ram</t>
        </is>
      </c>
      <c r="E28" s="17" t="inlineStr">
        <is>
          <t>sgn_goat</t>
        </is>
      </c>
      <c r="F28" s="17" t="inlineStr">
        <is>
          <t>no</t>
        </is>
      </c>
      <c r="G28" s="17" t="inlineStr">
        <is>
          <t>drafted</t>
        </is>
      </c>
      <c r="H28" s="17" t="inlineStr">
        <is>
          <t>C: Gunnar recognizes Jost's old ford ambushes from reports he read years ago, and says so. Jost cheerfully confirms it. B: Jost admits he lucked into most of them. Gunnar says luck is usually patience under a different name, and asks how long Jost can stay still. Jost, who sleeps through most things, says he doesn't know. A: Gunnar takes him out to teach waiting. Jost turns out to be very good at stillness; they both fall asleep in the blind and wake to a deer well inside arrow range. Gunnar says quietly that isn't luck. Jost, for once, doesn't have a joke ready.</t>
        </is>
      </c>
      <c r="I28" s="17" t="inlineStr">
        <is>
          <t>Both signs reused verbatim (Jost=Ram from Jost/Emmerich, Gunnar=Goat from Gunnar/Edda). Cross-route (diadem/assembly), post-convergence. Ram's 'lucky sleeper' note recast as an untrained talent for stillness. Platonic chain, capped at A.</t>
        </is>
      </c>
    </row>
    <row r="29">
      <c r="A29" s="17" t="inlineStr">
        <is>
          <t>sup_jost_edda</t>
        </is>
      </c>
      <c r="B29" s="17" t="inlineStr">
        <is>
          <t>u_jost</t>
        </is>
      </c>
      <c r="C29" s="17" t="inlineStr">
        <is>
          <t>u_edda</t>
        </is>
      </c>
      <c r="D29" s="17" t="inlineStr">
        <is>
          <t>sgn_ram</t>
        </is>
      </c>
      <c r="E29" s="17" t="inlineStr">
        <is>
          <t>sgn_maiden</t>
        </is>
      </c>
      <c r="F29" s="17" t="inlineStr">
        <is>
          <t>no</t>
        </is>
      </c>
      <c r="G29" s="17" t="inlineStr">
        <is>
          <t>drafted</t>
        </is>
      </c>
      <c r="H29" s="17" t="inlineStr">
        <is>
          <t>C: Edda recites one of the long village histories to a small audience and Jost falls asleep in the middle of it, audibly. She stops. B: She is insulted; he isn't apologetic. He says he only sleeps through the parts where nobody's in danger. Edda, who keeps records for a living, asks him to say exactly which parts woke him. A: He lists them, and it's the same every time: the moments with a person at risk. Edda starts using him as an audience gauge, and finds which stories are actually about someone and which are only about the past. She cuts the second kind down. Jost sleeps through a shorter recital and wakes for the rest.</t>
        </is>
      </c>
      <c r="I29" s="17" t="inlineStr">
        <is>
          <t>Both signs reused verbatim (Jost=Ram from Jost/Emmerich, Edda=Maiden from Waldrada/Edda). Cross-route (diadem/assembly), post-convergence. Ram's stakes-sensitive waking (see Jost/Sigrun) turned into a method for the Maiden's record. Platonic chain, capped at A.</t>
        </is>
      </c>
    </row>
    <row r="30">
      <c r="A30" s="17" t="inlineStr">
        <is>
          <t>sup_jost_anselm</t>
        </is>
      </c>
      <c r="B30" s="17" t="inlineStr">
        <is>
          <t>u_jost</t>
        </is>
      </c>
      <c r="C30" s="17" t="inlineStr">
        <is>
          <t>u_anselm</t>
        </is>
      </c>
      <c r="D30" s="17" t="inlineStr">
        <is>
          <t>sgn_ram</t>
        </is>
      </c>
      <c r="E30" s="17" t="inlineStr">
        <is>
          <t>sgn_fishes</t>
        </is>
      </c>
      <c r="F30" s="17" t="inlineStr">
        <is>
          <t>no</t>
        </is>
      </c>
      <c r="G30" s="17" t="inlineStr">
        <is>
          <t>drafted</t>
        </is>
      </c>
      <c r="H30" s="17" t="inlineStr">
        <is>
          <t>C: Anselm, working through a crisis of total ambivalence, asks Jost how he ever decides anything without agonizing over it first. Jost's honest answer -- he doesn't decide, mostly, he just reacts when it counts and ignores the rest -- sounds to Anselm less like an answer and more like a diagnosis of his own condition from a totally different angle. B: Anselm admits the caveats that used to feel like honesty now just feel like never landing anywhere; Jost, unbothered by landing or not landing, tells him that's the difference between them -- Anselm's still trying to get the whole picture right before acting, and Jost gave up on the whole picture a long time ago, which is either freedom or failure and he's genuinely not sure which either. A: Jost admits the not-deciding cost him things he still doesn't examine closely; Anselm, whose whole practice right now is examining things closely and finding no bottom, tells him that not examining it might be the more honest response to a question with no bottom, not a lesser one. Neither converts the other. Jost starts asking one more question before reacting, some of the time; Anselm starts letting a caveat go unspoken, some of the time. Neither one calls it progress. Both notice it anyway.</t>
        </is>
      </c>
      <c r="I30" s="17" t="inlineStr">
        <is>
          <t>Both signs reused verbatim (Jost=Ram from Jost/Emmerich, Anselm=Fishes from Tancred/Anselm). Ram's virtue (decisive, doesn't look back) offered as an unintentional answer to Fishes' failure mode ('understands the enemy too well to fight them') -- not resolving the doubt, just modeling a different relationship to acting inside it. Platonic chain, capped at A.</t>
        </is>
      </c>
    </row>
    <row r="31">
      <c r="A31" s="17" t="inlineStr">
        <is>
          <t>sup_jost_kheldar</t>
        </is>
      </c>
      <c r="B31" s="17" t="inlineStr">
        <is>
          <t>u_jost</t>
        </is>
      </c>
      <c r="C31" s="17" t="inlineStr">
        <is>
          <t>u_kheldar</t>
        </is>
      </c>
      <c r="D31" s="17" t="inlineStr">
        <is>
          <t>sgn_ram</t>
        </is>
      </c>
      <c r="E31" s="17" t="inlineStr">
        <is>
          <t>sgn_scorpion</t>
        </is>
      </c>
      <c r="F31" s="17" t="inlineStr">
        <is>
          <t>no</t>
        </is>
      </c>
      <c r="G31" s="17" t="inlineStr">
        <is>
          <t>drafted</t>
        </is>
      </c>
      <c r="H31" s="17" t="inlineStr">
        <is>
          <t>C: Kheldar, cataloguing which recruits might be useful contacts later, marks Jost down as a dead end -- a reformed bandit with nothing left to leverage, no debts, no angles. Jost, hearing about the assessment secondhand, is oddly pleased to be considered useless to a professional manipulator. B: Kheldar, curious despite the assessment, asks how a man builds up literally nothing worth holding over him. Jost's answer: he never kept anything long enough to owe for it, not money, not loyalty, not grudges -- travel light, nothing to lose, nothing anyone can take. A: Kheldar admits, almost enviously, that his own whole trade depends on everyone having something to lose, and he's never met anyone who genuinely doesn't. Jost tells him plainly it isn't a trick, it cost him the chance to actually want anything too, same as it cost him the ability to be leveraged -- the emptiness cuts both ways. Kheldar, who has spent his career being the one thing nobody can pin down, recognizes the same nothing looking back at him from a totally different angle, and for once doesn't try to find the angle in it.</t>
        </is>
      </c>
      <c r="I31" s="17" t="inlineStr">
        <is>
          <t>Both signs reused verbatim (Jost=Ram from Jost/Emmerich, Kheldar=Scorpion from Kheldar/Kest). Ram's own decisiveness read as an absence of anything to lose, directly undermining Scorpion's whole professional method (leverage via grudges and debts) -- two versions of having nothing held over you, one costly, one useful. Platonic chain, capped at A.</t>
        </is>
      </c>
    </row>
    <row r="32">
      <c r="A32" s="17" t="inlineStr">
        <is>
          <t>sup_jost_dietmar</t>
        </is>
      </c>
      <c r="B32" s="17" t="inlineStr">
        <is>
          <t>u_jost</t>
        </is>
      </c>
      <c r="C32" s="17" t="inlineStr">
        <is>
          <t>u_dietmar</t>
        </is>
      </c>
      <c r="D32" s="17" t="inlineStr">
        <is>
          <t>sgn_ram</t>
        </is>
      </c>
      <c r="E32" s="17" t="inlineStr">
        <is>
          <t>sgn_lion</t>
        </is>
      </c>
      <c r="F32" s="17" t="inlineStr">
        <is>
          <t>no</t>
        </is>
      </c>
      <c r="G32" s="17" t="inlineStr">
        <is>
          <t>drafted</t>
        </is>
      </c>
      <c r="H32" s="17" t="inlineStr">
        <is>
          <t>C: Dietmar, reviewing the diadem's new recruits, is visibly unimpressed that a reformed bandit made the roster; Jost, unbothered, sleeps through the inspection instead of defending himself. B: Dietmar, expecting either an argument or an apology, gets neither, and finds himself oddly rattled by a man who simply doesn't perform for his approval. He asks Jost outright why he doesn't bother trying to impress him. Jost's answer: trying to impress people who've already decided about you never once changed the outcome, so why spend the energy. A: Dietmar admits that's the exact opposite of his own entire method -- he's spent the obsolescence arc trying to impress people into remembering he still matters, and it's cost him more than Jost's indifference ever could. Jost tells him plainly some audiences were never going to change their minds regardless, and the trick isn't winning them, it's noticing which ones are actually worth the energy. Dietmar doesn't stop trying to matter. He does start being pickier about who he's trying to matter to.</t>
        </is>
      </c>
      <c r="I32" s="17" t="inlineStr">
        <is>
          <t>Both signs reused verbatim (Jost=Ram from Jost/Emmerich, Dietmar=Lion from Dietmar/Torvald). Ram's virtue (decisive, doesn't look back, doesn't perform) as an implicit rebuke of Lion's failure mode ('cannot take a demotion gracefully') -- indifference to an audience as an alternative to needing one. Platonic chain, capped at A.</t>
        </is>
      </c>
    </row>
    <row r="33">
      <c r="A33" s="17" t="inlineStr">
        <is>
          <t>sup_jost_torvald</t>
        </is>
      </c>
      <c r="B33" s="17" t="inlineStr">
        <is>
          <t>u_jost</t>
        </is>
      </c>
      <c r="C33" s="17" t="inlineStr">
        <is>
          <t>u_torvald</t>
        </is>
      </c>
      <c r="D33" s="17" t="inlineStr">
        <is>
          <t>sgn_ram</t>
        </is>
      </c>
      <c r="E33" s="17" t="inlineStr">
        <is>
          <t>sgn_crab</t>
        </is>
      </c>
      <c r="F33" s="17" t="inlineStr">
        <is>
          <t>no</t>
        </is>
      </c>
      <c r="G33" s="17" t="inlineStr">
        <is>
          <t>drafted</t>
        </is>
      </c>
      <c r="H33" s="17" t="inlineStr">
        <is>
          <t>C: Jost falls asleep against the wall at Torvald's post. Torvald doesn't wake him. Nobody has ever let Jost sleep somewhere it wasn't his own risk. B: Torvald says his order kept the watch for a living, and he can't stop keeping it. Jost says nobody has ever guarded his sleep, not once, and he hadn't known that was a thing people did for each other. A: Torvald keeps watch while Jost sleeps, and Jost sleeps deeper than he has in years. Afterward he admits the napping was never laziness; it was never safe to do anywhere. Torvald says a watch is the only thing he still knows how to do properly, and he'd rather do it for someone than for no one.</t>
        </is>
      </c>
      <c r="I33" s="17" t="inlineStr">
        <is>
          <t>Both signs reused verbatim (Jost=Ram from Jost/Emmerich, Torvald=Crab from Dietmar/Torvald). Cross-route (diadem/assembly), post-convergence. Torvald's inherited habit of keeping watch finally has a use; Jost's 'lucky sleeper' note is recast as an unmet need. Platonic chain, capped at A.</t>
        </is>
      </c>
    </row>
    <row r="34">
      <c r="A34" s="17" t="inlineStr">
        <is>
          <t>sup_jost_rinsa</t>
        </is>
      </c>
      <c r="B34" s="17" t="inlineStr">
        <is>
          <t>u_jost</t>
        </is>
      </c>
      <c r="C34" s="17" t="inlineStr">
        <is>
          <t>u_rinsa</t>
        </is>
      </c>
      <c r="D34" s="17" t="inlineStr">
        <is>
          <t>sgn_ram</t>
        </is>
      </c>
      <c r="E34" s="17" t="inlineStr">
        <is>
          <t>sgn_vessel</t>
        </is>
      </c>
      <c r="F34" s="17" t="inlineStr">
        <is>
          <t>no</t>
        </is>
      </c>
      <c r="G34" s="17" t="inlineStr">
        <is>
          <t>drafted</t>
        </is>
      </c>
      <c r="H34" s="17" t="inlineStr">
        <is>
          <t>C: Jost dozes off on the oracle's stairs while waiting his turn. Rinsa doesn't wake him. Everyone else who waits there is afraid. B: She asks whether he's afraid of the dark. He says it's the only place nobody asks him for anything. Rinsa says that's very nearly what the dark is for. A: She lets him sleep at the foot of the stairs while she waits for the next customer. He wakes rested, and she says he is the first person to treat the descent as rest. Jost says it's the first place he's slept without listening for anything. Rinsa says that's what she's been trying to give people for years and never quite managed.</t>
        </is>
      </c>
      <c r="I34" s="17" t="inlineStr">
        <is>
          <t>Both signs reused verbatim (Jost=Ram from Jost/Emmerich, Rinsa's own already-stated sign, the Vessel). Jost is diadem; Rinsa is route 'both'. Ram's 'lucky sleeper' note meets Rinsa's own job. Platonic chain, capped at A.</t>
        </is>
      </c>
    </row>
    <row r="35">
      <c r="A35" s="17" t="inlineStr">
        <is>
          <t>sup_jost_kest</t>
        </is>
      </c>
      <c r="B35" s="17" t="inlineStr">
        <is>
          <t>u_jost</t>
        </is>
      </c>
      <c r="C35" s="17" t="inlineStr">
        <is>
          <t>u_kest</t>
        </is>
      </c>
      <c r="D35" s="17" t="inlineStr">
        <is>
          <t>sgn_ram</t>
        </is>
      </c>
      <c r="E35" s="17" t="inlineStr">
        <is>
          <t>sgn_twins</t>
        </is>
      </c>
      <c r="F35" s="17" t="inlineStr">
        <is>
          <t>no</t>
        </is>
      </c>
      <c r="G35" s="17" t="inlineStr">
        <is>
          <t>drafted</t>
        </is>
      </c>
      <c r="H35" s="17" t="inlineStr">
        <is>
          <t>C: Kest tries to talk Jost into a plan, arguing both sides of it out loud, at length. Jost sleeps through most of it. B: He wakes, asks which side she meant, and she admits she hasn't decided. Jost points out, not unkindly, that she always ends up doing whichever side she argued last, so the arguing has never changed what she does. A: Jost offers a deal: on the small things he'll decide for her, and she can veto. Kest, who has never let anyone take a decision off her, tries it for a week. The arguing goes quieter. She doesn't say why, and Jost doesn't ask. Sleeping through it turns out to have been the only patient thing anyone had done for her in a long while.</t>
        </is>
      </c>
      <c r="I35" s="17" t="inlineStr">
        <is>
          <t>Both signs reused verbatim (Jost=Ram from Jost/Emmerich, Kest's own already-stated sign, the Twins). Both diadem-route. Ram's decisiveness offered as a small, revocable loan to Twins' failure mode; deliberately does not touch Kest's withheld reveal, per her own note. Platonic chain, capped at A.</t>
        </is>
      </c>
    </row>
    <row r="36">
      <c r="A36" s="17" t="inlineStr">
        <is>
          <t>sup_ricberta_emmerich</t>
        </is>
      </c>
      <c r="B36" s="17" t="inlineStr">
        <is>
          <t>u_ricberta</t>
        </is>
      </c>
      <c r="C36" s="17" t="inlineStr">
        <is>
          <t>u_emmerich</t>
        </is>
      </c>
      <c r="D36" s="17" t="inlineStr">
        <is>
          <t>sgn_crab</t>
        </is>
      </c>
      <c r="E36" s="17" t="inlineStr">
        <is>
          <t>sgn_lion</t>
        </is>
      </c>
      <c r="F36" s="17" t="inlineStr">
        <is>
          <t>no</t>
        </is>
      </c>
      <c r="G36" s="17" t="inlineStr">
        <is>
          <t>drafted</t>
        </is>
      </c>
      <c r="H36" s="17" t="inlineStr">
        <is>
          <t>C: Emmerich's requisitions don't match the levy's real numbers, and Ricberta knows it. He pads them, and she tells him plainly. B: He admits the Baron demands the padding, and that the shortfall then falls on men like hers. Ricberta says she'll keep a second, true count and pass it to him. He doesn't ask how she keeps one. A: He uses her count for actual supply and pads only the showcase. He notices she reads his figures faster than a sergeant should, and says nothing. Two people now keep two ledgers each: one for the Baron, one for the levy. Neither has ever trusted anyone that much.</t>
        </is>
      </c>
      <c r="I36" s="17" t="inlineStr">
        <is>
          <t>Both signs reused verbatim (Ricberta=Crab from Ricberta/Sigrun, Emmerich=Lion from Jost/Emmerich). Both diadem-route (ch_d02). Crab's loyalty to her men and Lion's showcase padding meet in a shared, quiet second ledger. Platonic chain, capped at A.</t>
        </is>
      </c>
      <c r="J36" s="17" t="inlineStr">
        <is>
          <t>literacy</t>
        </is>
      </c>
      <c r="K36" s="17" t="inlineStr">
        <is>
          <t>A</t>
        </is>
      </c>
      <c r="L36" s="17" t="inlineStr">
        <is>
          <t>u_ricberta</t>
        </is>
      </c>
    </row>
    <row r="37">
      <c r="A37" s="17" t="inlineStr">
        <is>
          <t>sup_ricberta_sigrun</t>
        </is>
      </c>
      <c r="B37" s="17" t="inlineStr">
        <is>
          <t>u_ricberta</t>
        </is>
      </c>
      <c r="C37" s="17" t="inlineStr">
        <is>
          <t>u_sigrun</t>
        </is>
      </c>
      <c r="D37" s="17" t="inlineStr">
        <is>
          <t>sgn_crab</t>
        </is>
      </c>
      <c r="E37" s="17" t="inlineStr">
        <is>
          <t>sgn_archer</t>
        </is>
      </c>
      <c r="F37" s="17" t="inlineStr">
        <is>
          <t>yes</t>
        </is>
      </c>
      <c r="G37" s="17" t="inlineStr">
        <is>
          <t>drafted</t>
        </is>
      </c>
      <c r="H37" s="17" t="inlineStr">
        <is>
          <t>C: They meet over dispatch schedules -- Sigrun keeps delivering orders faster than Ricberta's levies can act on them, and Ricberta's clipped complaints about 'impossible timing' are the whole conversation, on the surface a logistics gripe. B: Sigrun notices what nobody else on the levy roster does -- Ricberta reads the requisition slips before anyone reads them to her, a beat too fast for someone who's supposed to need them read aloud. She doesn't say it in front of the others, which is its own kind of answer. A: Ricberta admits it outright, expecting the usual calculus (a literate sergeant is a sergeant someone above her will want moved, watched, or replaced). Sigrun's response isn't reassurance, it's redirection -- she starts routing dispatches so Ricberta's own reading gets used instead of hidden, folding the secret into the job instead of asking Ricberta to keep choosing between them. S (romance): what holds is exactly what the signs promised and neither one flinched from -- Sigrun says the true thing at the worst moment, and the worst moment turns out to be the only time Ricberta would have believed her. Loyalty that used to end at 'the people already inside the wall' widens by exactly one.</t>
        </is>
      </c>
      <c r="I37" s="17" t="inlineStr">
        <is>
          <t>Signs assigned per the signs tab's own methodology (argued from behaviour, not a keyword): Ricberta=Crab off her own note ('secretly literate... literacy is a deputy tiebreak' -- guards a secret to protect her position and the people under her, the Crab's own failure mode -- loyalty to people over the cause -- is the exact shape of hiding competence to keep her sergeant's post rather than risk promotion scrutiny). Sigrun=Archer off hers ('courier rider' -- ranges out, returns with news, the Archer's failure mode 'says the true thing at the worst moment' is the literal action that breaks the support open in the B-&gt;A transition).</t>
        </is>
      </c>
      <c r="J37" s="17" t="inlineStr">
        <is>
          <t>literacy</t>
        </is>
      </c>
      <c r="K37" s="17" t="inlineStr">
        <is>
          <t>B</t>
        </is>
      </c>
      <c r="L37" s="17" t="inlineStr">
        <is>
          <t>u_ricberta</t>
        </is>
      </c>
    </row>
    <row r="38">
      <c r="A38" s="17" t="inlineStr">
        <is>
          <t>sup_ricberta_waldrada</t>
        </is>
      </c>
      <c r="B38" s="17" t="inlineStr">
        <is>
          <t>u_ricberta</t>
        </is>
      </c>
      <c r="C38" s="17" t="inlineStr">
        <is>
          <t>u_waldrada</t>
        </is>
      </c>
      <c r="D38" s="17" t="inlineStr">
        <is>
          <t>sgn_crab</t>
        </is>
      </c>
      <c r="E38" s="17" t="inlineStr">
        <is>
          <t>sgn_scales</t>
        </is>
      </c>
      <c r="F38" s="17" t="inlineStr">
        <is>
          <t>no</t>
        </is>
      </c>
      <c r="G38" s="17" t="inlineStr">
        <is>
          <t>drafted</t>
        </is>
      </c>
      <c r="H38" s="17" t="inlineStr">
        <is>
          <t>C: Waldrada watches Ricberta read a requisition slip a beat too fast for someone who's supposed to need it read aloud, and says nothing. Ricberta notices her noticing. B: Waldrada offers a trade nobody asked for: as a defector, everyone already distrusts her, so any suspicion in the levy can be made to stick to her instead. Ricberta refuses flatly -- she won't spend a colleague as cover. A: Ricberta admits she has hidden her literacy from everyone, including people exactly like Waldrada, because she assumed no one could be trusted with it. Waldrada says her own loyalty was never settled because nobody had ever asked her plainly. Ricberta asks her, plainly, which side she's on. Waldrada answers: the people in this levy. It is the first time either has said their loyalty aloud to someone who won't use it against them.</t>
        </is>
      </c>
      <c r="I38" s="17" t="inlineStr">
        <is>
          <t>Both signs reused verbatim (Ricberta=Crab from Ricberta/Sigrun, Waldrada=Scales from Waldrada/Edda). Both diadem-route (ch_d02). Crab's loyalty-to-people failure mode and Scales' deliberation-as-delay resolve into the same answer from two directions. Platonic chain, capped at A.</t>
        </is>
      </c>
      <c r="J38" s="17" t="inlineStr">
        <is>
          <t>literacy</t>
        </is>
      </c>
      <c r="K38" s="17" t="inlineStr">
        <is>
          <t>A</t>
        </is>
      </c>
      <c r="L38" s="17" t="inlineStr">
        <is>
          <t>u_ricberta</t>
        </is>
      </c>
    </row>
    <row r="39">
      <c r="A39" s="17" t="inlineStr">
        <is>
          <t>sup_ricberta_tancred</t>
        </is>
      </c>
      <c r="B39" s="17" t="inlineStr">
        <is>
          <t>u_ricberta</t>
        </is>
      </c>
      <c r="C39" s="17" t="inlineStr">
        <is>
          <t>u_tancred</t>
        </is>
      </c>
      <c r="D39" s="17" t="inlineStr">
        <is>
          <t>sgn_crab</t>
        </is>
      </c>
      <c r="E39" s="17" t="inlineStr">
        <is>
          <t>sgn_goat</t>
        </is>
      </c>
      <c r="F39" s="17" t="inlineStr">
        <is>
          <t>no</t>
        </is>
      </c>
      <c r="G39" s="17" t="inlineStr">
        <is>
          <t>drafted</t>
        </is>
      </c>
      <c r="H39" s="17" t="inlineStr">
        <is>
          <t>C: Tancred, deep in his order's discipline about honesty, asks Ricberta -- not unkindly, just directly -- whether hiding her literacy from her superiors counts as a kind of lie she should be confessing to someone. Ricberta tells him flatly it's none of his order's business. B: Tancred admits the question was clumsy, but the concern under it wasn't -- he's watched enough people in the diadem get quietly punished for competence to understand the hiding, he just wondered if it cost her something to keep confessing it to no one. Ricberta, expecting a lecture and getting an actual question instead, admits it does cost something, just not the thing his order would call sin. A: Ricberta tells him plainly what it costs: not guilt, just the specific loneliness of a secret with nobody keeping it alongside her, only for her. Tancred, whose whole practice is unglamorous, witnessed work, offers the one thing he actually has to give -- witnessing, no confession, no absolution required, just someone who knows and doesn't report it. Ricberta doesn't confess anything new. She does let one more person carry the knowing, which turns out to be most of what she needed.</t>
        </is>
      </c>
      <c r="I39" s="17" t="inlineStr">
        <is>
          <t>Both signs reused verbatim (Ricberta=Crab from Ricberta/Sigrun, Tancred=Goat from Tancred/Anselm). Crab's failure mode (a secret carried entirely alone) met by Goat's virtue (unglamorous, witnessed work) reframed as simple witnessing rather than confession -- Tancred's class instinct corrected by Ricberta's actual need. Platonic chain, capped at A.</t>
        </is>
      </c>
    </row>
    <row r="40">
      <c r="A40" s="17" t="inlineStr">
        <is>
          <t>sup_ricberta_maren</t>
        </is>
      </c>
      <c r="B40" s="17" t="inlineStr">
        <is>
          <t>u_ricberta</t>
        </is>
      </c>
      <c r="C40" s="17" t="inlineStr">
        <is>
          <t>u_maren</t>
        </is>
      </c>
      <c r="D40" s="17" t="inlineStr">
        <is>
          <t>sgn_crab</t>
        </is>
      </c>
      <c r="E40" s="17" t="inlineStr">
        <is>
          <t>sgn_crab</t>
        </is>
      </c>
      <c r="F40" s="17" t="inlineStr">
        <is>
          <t>no</t>
        </is>
      </c>
      <c r="G40" s="17" t="inlineStr">
        <is>
          <t>drafted</t>
        </is>
      </c>
      <c r="H40" s="17" t="inlineStr">
        <is>
          <t>C: Maren needs Ricberta's levy roster locked in for dole allotments; Ricberta, protective of exactly how much information about her men gets shared upward, gives her a partial list and calls it complete. B: Maren, running triage on scarce winter supplies, catches the gap immediately -- a partial roster means someone on that levy is going without, and she says so plainly, without accusation, just arithmetic. Ricberta admits the omission: one of her men is quietly sick in a way that would get him reassigned off her levy if it reached the wrong desk, and she'd rather he go hungry a week than lose his post. A: Maren tells her flatly that's not a choice she gets to make on his behalf, and asks to see him herself, off the official books, so the dole gets to him without the reassignment risk. Ricberta, whose entire discipline is deciding exactly what gets seen and by whom, finds someone willing to work inside that same discretion instead of overriding it. The man gets fed. Nobody upstream ever sees the gap in the roster, and Maren doesn't ask Ricberta to trust the system with it again.</t>
        </is>
      </c>
      <c r="I40" s="17" t="inlineStr">
        <is>
          <t>Both signs reused verbatim (Ricberta=Crab from Ricberta/Sigrun, Maren=Crab from Avatar/Maren). A second Crab-Crab pairing (after Ricberta/Torvald) -- distinct angle: a sergeant's discipline-loyalty (what gets hidden to protect a position) meeting a healer's triage-loyalty (who gets fed), both practicing loyalty as discretion rather than disclosure. Platonic chain, capped at A.</t>
        </is>
      </c>
    </row>
    <row r="41">
      <c r="A41" s="17" t="inlineStr">
        <is>
          <t>sup_ricberta_brandt</t>
        </is>
      </c>
      <c r="B41" s="17" t="inlineStr">
        <is>
          <t>u_ricberta</t>
        </is>
      </c>
      <c r="C41" s="17" t="inlineStr">
        <is>
          <t>u_brandt</t>
        </is>
      </c>
      <c r="D41" s="17" t="inlineStr">
        <is>
          <t>sgn_crab</t>
        </is>
      </c>
      <c r="E41" s="17" t="inlineStr">
        <is>
          <t>sgn_bull</t>
        </is>
      </c>
      <c r="F41" s="17" t="inlineStr">
        <is>
          <t>no</t>
        </is>
      </c>
      <c r="G41" s="17" t="inlineStr">
        <is>
          <t>drafted</t>
        </is>
      </c>
      <c r="H41" s="17" t="inlineStr">
        <is>
          <t>C: A diadem sergeant and an assembly sergeant compare levies the way any two career soldiers on opposite sides of a fence do -- whose men hold better, whose gate matters more. B: Ricberta needles Brandt about the assembly's discipline; Brandt, who has never once needed to be smarter than his post to keep it, doesn't have a clever answer and says so, plainly, which throws Ricberta more than an argument would have. A: Ricberta admits the real grievance was never about discipline -- it's that being smart enough to need to hide it made her career something to manage rather than something to just do, and Brandt's uncomplicated competence looks like a life she didn't get offered. Brandt, who has spent his own career being underestimated as simple, tells her that holding a gate without needing anyone to notice you're clever at it is its own kind of hard -- and that he'd take her levy's discipline over his own gate crew's, if either of them ever needed to say so out loud, which sergeants generally don't.</t>
        </is>
      </c>
      <c r="I41" s="17" t="inlineStr">
        <is>
          <t>Both signs reused verbatim from their own established chains (Ricberta=Crab from Ricberta/Sigrun, Brandt=Bull from Brandt/Solveig). Cross-route mirror-professionals (both sergeants, both lance/armor), post-convergence. Platonic chain, capped at A -- explicitly not folded into either unit's existing romance chain (Ricberta/Sigrun, Brandt/Solveig).</t>
        </is>
      </c>
    </row>
    <row r="42">
      <c r="A42" s="17" t="inlineStr">
        <is>
          <t>sup_ricberta_solveig</t>
        </is>
      </c>
      <c r="B42" s="17" t="inlineStr">
        <is>
          <t>u_ricberta</t>
        </is>
      </c>
      <c r="C42" s="17" t="inlineStr">
        <is>
          <t>u_solveig</t>
        </is>
      </c>
      <c r="D42" s="17" t="inlineStr">
        <is>
          <t>sgn_crab</t>
        </is>
      </c>
      <c r="E42" s="17" t="inlineStr">
        <is>
          <t>sgn_vessel</t>
        </is>
      </c>
      <c r="F42" s="17" t="inlineStr">
        <is>
          <t>no</t>
        </is>
      </c>
      <c r="G42" s="17" t="inlineStr">
        <is>
          <t>drafted</t>
        </is>
      </c>
      <c r="H42" s="17" t="inlineStr">
        <is>
          <t>C: Solveig's courier route clips past Ricberta's levy on a fixed schedule; Ricberta, protective of her men's drill time, complains that the flyovers spook the recruits. Solveig, used to complaints about the prophecy, is almost relieved this one's just about noise. B: Ricberta admits, once the actual complaint's addressed, that the flyovers aren't really the problem -- it's that Solveig gets to be visibly exceptional at her job in a way Ricberta's spent years making sure she never looks like. Solveig, who's never once gotten to choose how visible her own competence is, doesn't know what to do with someone envying the choice she never had. A: Solveig admits the visibility isn't a choice, it's inheritance -- the family's prophecy makes sure everyone's always watching, whether she's earned it that day or not. Ricberta, whose whole discipline is deciding exactly how much competence gets shown, tells her that's the one thing she'd never trade her hiding for: at least the hiding is hers to manage. Neither envies the other by the end. They do start comparing notes on managing an audience neither one asked for.</t>
        </is>
      </c>
      <c r="I42" s="17" t="inlineStr">
        <is>
          <t>Both signs reused verbatim (Ricberta=Crab from Ricberta/Sigrun, Solveig=Vessel from Brandt/Solveig). Crab's failure mode (competence deliberately hidden) set against Vessel's failure mode ('belongs to everyone and therefore to nobody') -- two different relationships to being watched, neither one chosen. Platonic chain, capped at A.</t>
        </is>
      </c>
    </row>
    <row r="43">
      <c r="A43" s="17" t="inlineStr">
        <is>
          <t>sup_ricberta_gunnar</t>
        </is>
      </c>
      <c r="B43" s="17" t="inlineStr">
        <is>
          <t>u_ricberta</t>
        </is>
      </c>
      <c r="C43" s="17" t="inlineStr">
        <is>
          <t>u_gunnar</t>
        </is>
      </c>
      <c r="D43" s="17" t="inlineStr">
        <is>
          <t>sgn_crab</t>
        </is>
      </c>
      <c r="E43" s="17" t="inlineStr">
        <is>
          <t>sgn_goat</t>
        </is>
      </c>
      <c r="F43" s="17" t="inlineStr">
        <is>
          <t>no</t>
        </is>
      </c>
      <c r="G43" s="17" t="inlineStr">
        <is>
          <t>drafted</t>
        </is>
      </c>
      <c r="H43" s="17" t="inlineStr">
        <is>
          <t>C: Gunnar trains recruits on the crossbow and Ricberta's levy needs the instruction; the two work out a schedule and mostly grunt at each other. B: Gunnar sees Ricberta read the maker's stamp on a new case without moving her lips and says nothing. She sees him see. Neither mentions it, and each starts being slightly more careful around the other. A: Gunnar admits he can't read; he learned the crossbow by feel and has carried a certification paper for years without knowing what it says. He asks her to read it, privately. She does, aloud, quietly -- the first time she has read aloud to anyone. It says he is competent, and names a rank he never claimed. Both of them keep the other's secret, and neither has to ask.</t>
        </is>
      </c>
      <c r="I43" s="17" t="inlineStr">
        <is>
          <t>Both signs reused verbatim (Ricberta=Crab from Ricberta/Sigrun, Gunnar=Goat from Gunnar/Edda). Cross-route (diadem/assembly), post-convergence. Gunnar's own note ('crossbow-certified') turned into a paper he cannot read; Ricberta's secret literacy finally has one safe audience. Platonic chain, capped at A.</t>
        </is>
      </c>
      <c r="J43" s="17" t="inlineStr">
        <is>
          <t>literacy</t>
        </is>
      </c>
      <c r="K43" s="17" t="inlineStr">
        <is>
          <t>B</t>
        </is>
      </c>
      <c r="L43" s="17" t="inlineStr">
        <is>
          <t>u_ricberta</t>
        </is>
      </c>
    </row>
    <row r="44">
      <c r="A44" s="17" t="inlineStr">
        <is>
          <t>sup_ricberta_edda</t>
        </is>
      </c>
      <c r="B44" s="17" t="inlineStr">
        <is>
          <t>u_ricberta</t>
        </is>
      </c>
      <c r="C44" s="17" t="inlineStr">
        <is>
          <t>u_edda</t>
        </is>
      </c>
      <c r="D44" s="17" t="inlineStr">
        <is>
          <t>sgn_crab</t>
        </is>
      </c>
      <c r="E44" s="17" t="inlineStr">
        <is>
          <t>sgn_maiden</t>
        </is>
      </c>
      <c r="F44" s="17" t="inlineStr">
        <is>
          <t>no</t>
        </is>
      </c>
      <c r="G44" s="17" t="inlineStr">
        <is>
          <t>drafted</t>
        </is>
      </c>
      <c r="H44" s="17" t="inlineStr">
        <is>
          <t>C: Edda notices Ricberta silently correcting the misspellings in the levy's reports, her mouth twitching each time. She says nothing and keeps watching. B: Edda finally says she's a reciter who keeps everything in memory and has never learned to write. Ricberta is the only literate person she has met who isn't a clerk or a monk. Ricberta goes very still, and then, slowly, doesn't deny it. A: Ricberta teaches her letters in secret, a few a night, using the levy's own requisition slips. Edda writes her first line in her own hand: that Ricberta taught her this and she won't say where. Ricberta, who has spent years hiding what she can do, finds one place where it is the thing that gets asked for.</t>
        </is>
      </c>
      <c r="I44" s="17" t="inlineStr">
        <is>
          <t>Both signs reused verbatim (Ricberta=Crab from Ricberta/Sigrun, Edda=Maiden from Waldrada/Edda). Cross-route (diadem/assembly), post-convergence. Ricberta's secret literacy becomes a gift to a keeper of the record who can't write. Platonic chain, capped at A.</t>
        </is>
      </c>
      <c r="J44" s="17" t="inlineStr">
        <is>
          <t>literacy</t>
        </is>
      </c>
      <c r="K44" s="17" t="inlineStr">
        <is>
          <t>B</t>
        </is>
      </c>
      <c r="L44" s="17" t="inlineStr">
        <is>
          <t>u_ricberta</t>
        </is>
      </c>
    </row>
    <row r="45">
      <c r="A45" s="17" t="inlineStr">
        <is>
          <t>sup_ricberta_anselm</t>
        </is>
      </c>
      <c r="B45" s="17" t="inlineStr">
        <is>
          <t>u_ricberta</t>
        </is>
      </c>
      <c r="C45" s="17" t="inlineStr">
        <is>
          <t>u_anselm</t>
        </is>
      </c>
      <c r="D45" s="17" t="inlineStr">
        <is>
          <t>sgn_crab</t>
        </is>
      </c>
      <c r="E45" s="17" t="inlineStr">
        <is>
          <t>sgn_fishes</t>
        </is>
      </c>
      <c r="F45" s="17" t="inlineStr">
        <is>
          <t>no</t>
        </is>
      </c>
      <c r="G45" s="17" t="inlineStr">
        <is>
          <t>drafted</t>
        </is>
      </c>
      <c r="H45" s="17" t="inlineStr">
        <is>
          <t>C: Anselm finds Ricberta reading a psalter alone, in the corner of a supply tent, a beat too fast for someone who isn't supposed to be able to. He says nothing. She sees him see. B: She asks him to read the parts in the old liturgical language that she can't parse. Anselm hesitates -- he hasn't trusted a text in a long while -- and reads it with every caveat he can think of. Ricberta says she prefers it that way: she can tell what's true. A: Anselm becomes her tutor in a language she has never told anyone she is studying. A literate soldier who can't be seen reading and a monk who can't trust what he reads share one book, quietly, one page an evening. Neither mentions it to anyone. It is the only reading either of them has done in years that wasn't for an audience.</t>
        </is>
      </c>
      <c r="I45" s="17" t="inlineStr">
        <is>
          <t>Both signs reused verbatim (Ricberta=Crab from Ricberta/Sigrun, Anselm=Fishes from Tancred/Anselm). Cross-route (diadem/assembly), post-convergence. Ricberta's secret literacy finds a second safe audience; Anselm's dissolved doctrine is useful as a text-critic. Platonic chain, capped at A.</t>
        </is>
      </c>
    </row>
    <row r="46">
      <c r="A46" s="17" t="inlineStr">
        <is>
          <t>sup_ricberta_kheldar</t>
        </is>
      </c>
      <c r="B46" s="17" t="inlineStr">
        <is>
          <t>u_ricberta</t>
        </is>
      </c>
      <c r="C46" s="17" t="inlineStr">
        <is>
          <t>u_kheldar</t>
        </is>
      </c>
      <c r="D46" s="17" t="inlineStr">
        <is>
          <t>sgn_crab</t>
        </is>
      </c>
      <c r="E46" s="17" t="inlineStr">
        <is>
          <t>sgn_scorpion</t>
        </is>
      </c>
      <c r="F46" s="17" t="inlineStr">
        <is>
          <t>no</t>
        </is>
      </c>
      <c r="G46" s="17" t="inlineStr">
        <is>
          <t>drafted</t>
        </is>
      </c>
      <c r="H46" s="17" t="inlineStr">
        <is>
          <t>C: Ricberta's levy reports keep tripping over the same manifest discrepancies Emmerich's already flagged; she corners Kheldar herself, expecting a smuggler to be easier to intimidate than a clerk. B: Kheldar isn't intimidated, but he is curious -- a sergeant hiding her own literacy has more in common with a man who hides his own trail than either would admit outright, and he says so. Ricberta doesn't confirm it, which he takes, correctly, as confirmation. A: Ricberta admits the parallel's fair and she hates it -- hiding competence and hiding a trail aren't the same crime, but they're the same posture, always calculating what gets seen. Kheldar, who has never once been caught out by someone reading his own tells back at him, offers her something closer to respect than a threat: he'll route his discrepancies around her levy specifically, professional courtesy, one hider of things to another. Ricberta doesn't thank him. She does stop reporting the ones that don't cost her men anything.</t>
        </is>
      </c>
      <c r="I46" s="17" t="inlineStr">
        <is>
          <t>Both signs reused verbatim (Ricberta=Crab from Ricberta/Sigrun, Kheldar=Scorpion from Kheldar/Kest). Crab's failure mode (competence hidden to protect a position) recognized by Scorpion's own trade (a man built around not being pinned down) as the same posture from two different professions. Platonic chain, capped at A.</t>
        </is>
      </c>
    </row>
    <row r="47">
      <c r="A47" s="17" t="inlineStr">
        <is>
          <t>sup_ricberta_dietmar</t>
        </is>
      </c>
      <c r="B47" s="17" t="inlineStr">
        <is>
          <t>u_ricberta</t>
        </is>
      </c>
      <c r="C47" s="17" t="inlineStr">
        <is>
          <t>u_dietmar</t>
        </is>
      </c>
      <c r="D47" s="17" t="inlineStr">
        <is>
          <t>sgn_crab</t>
        </is>
      </c>
      <c r="E47" s="17" t="inlineStr">
        <is>
          <t>sgn_lion</t>
        </is>
      </c>
      <c r="F47" s="17" t="inlineStr">
        <is>
          <t>no</t>
        </is>
      </c>
      <c r="G47" s="17" t="inlineStr">
        <is>
          <t>drafted</t>
        </is>
      </c>
      <c r="H47" s="17" t="inlineStr">
        <is>
          <t>C: Dietmar, sizing up the diadem's junior sergeants, singles out Ricberta as unusually sharp for her rank and asks why she hasn't been pushed toward promotion. Ricberta gives him a deflection so smooth he almost doesn't notice it's one. B: Dietmar, revolution-generation and used to reading soldiers for exactly this kind of evasion, notices anyway, and tells her plainly he's not going to report whatever she's protecting -- he's spent his whole career being visibly exceptional and has some idea what it costs the people who choose not to be. Ricberta, who's never had a superior officer volunteer that trade, doesn't confirm anything, but stops deflecting quite so hard. A: Ricberta admits, carefully, that visibility was never safe for someone with her particular secret; Dietmar tells her his own visibility hasn't been safe either, lately, just for the opposite reason -- his is fading and hers is a choice, and he's not sure anymore which is the worse position to be in. Neither trades secrets outright. They do end up with something like an understanding: two soldiers, one hiding what she can do and one losing what he's known for, checking in on each other's particular kind of exposure.</t>
        </is>
      </c>
      <c r="I47" s="17" t="inlineStr">
        <is>
          <t>Both signs reused verbatim (Ricberta=Crab from Ricberta/Sigrun, Dietmar=Lion from Dietmar/Torvald). Crab's failure mode (competence hidden to protect a position) recognized by a man on the opposite end of the same axis -- Lion's failure mode being visibility he can't control losing instead of visibility she won't risk gaining. Platonic chain, capped at A.</t>
        </is>
      </c>
    </row>
    <row r="48">
      <c r="A48" s="17" t="inlineStr">
        <is>
          <t>sup_ricberta_torvald</t>
        </is>
      </c>
      <c r="B48" s="17" t="inlineStr">
        <is>
          <t>u_ricberta</t>
        </is>
      </c>
      <c r="C48" s="17" t="inlineStr">
        <is>
          <t>u_torvald</t>
        </is>
      </c>
      <c r="D48" s="17" t="inlineStr">
        <is>
          <t>sgn_crab</t>
        </is>
      </c>
      <c r="E48" s="17" t="inlineStr">
        <is>
          <t>sgn_crab</t>
        </is>
      </c>
      <c r="F48" s="17" t="inlineStr">
        <is>
          <t>no</t>
        </is>
      </c>
      <c r="G48" s="17" t="inlineStr">
        <is>
          <t>drafted</t>
        </is>
      </c>
      <c r="H48" s="17" t="inlineStr">
        <is>
          <t>C: Ricberta, sizing up the assembly's last old-order knight the way she sizes up every soldier who might outrank her competence, asks Torvald plainly why he still takes orders from officers half his age. Torvald's answer is short: someone has to hold the post, rank was never the point. B: Ricberta needles at that -- rank is always the point, she's built a whole second life managing exactly how much competence she can afford to show without it costing her the post -- and Torvald, who has never once had to hide anything about what he's capable of, doesn't understand the calculation until she spells it out. A: Torvald admits her calculation is the harder discipline -- his own loyalty cost him grief, not strategy, because there was never anyone left to manage the appearance for. Ricberta hears, for the first time, an answer to 'what happens once the hiding isn't necessary anymore' that isn't a threat: it's just a man who outlived the need for it, and still chose to keep serving anyway. She doesn't stop hiding. She starts believing there's a version of not having to.</t>
        </is>
      </c>
      <c r="I48" s="17" t="inlineStr">
        <is>
          <t>Both signs reused verbatim (Ricberta=Crab from Ricberta/Sigrun, Torvald=Crab from Dietmar/Torvald). Deliberately paired as a second Crab mirror (after Solveig/Rinsa's Vessel mirror) -- argued as distinct temporal positions on the same failure mode: Ricberta's loyalty protects a future inside a system that still exists, Torvald's preserves a past system that's already gone. Cross-route (diadem/assembly), post-convergence. Platonic chain, capped at A.</t>
        </is>
      </c>
    </row>
    <row r="49">
      <c r="A49" s="17" t="inlineStr">
        <is>
          <t>sup_ricberta_rinsa</t>
        </is>
      </c>
      <c r="B49" s="17" t="inlineStr">
        <is>
          <t>u_ricberta</t>
        </is>
      </c>
      <c r="C49" s="17" t="inlineStr">
        <is>
          <t>u_rinsa</t>
        </is>
      </c>
      <c r="D49" s="17" t="inlineStr">
        <is>
          <t>sgn_crab</t>
        </is>
      </c>
      <c r="E49" s="17" t="inlineStr">
        <is>
          <t>sgn_vessel</t>
        </is>
      </c>
      <c r="F49" s="17" t="inlineStr">
        <is>
          <t>no</t>
        </is>
      </c>
      <c r="G49" s="17" t="inlineStr">
        <is>
          <t>drafted</t>
        </is>
      </c>
      <c r="H49" s="17" t="inlineStr">
        <is>
          <t>C: Ricberta hires Rinsa to guide her levy across the wall at the Throat; there's no crossing it without a guide. She counts her men going down and again coming up. B: Rinsa notices, and says she counts too, every trip, silently, hundreds of times. She has never told anyone. Ricberta says nobody's ever asked her either. A: They compare numbers at the top. They match to the head. Neither has ever had a second person who counts the way they do -- someone for whom the count is the whole point, not a formality. Ricberta says her levy will never be counted wrong again. Rinsa says neither will anyone who comes down with her.</t>
        </is>
      </c>
      <c r="I49" s="17" t="inlineStr">
        <is>
          <t>Both signs reused verbatim (Ricberta=Crab from Ricberta/Sigrun, Rinsa's own already-stated sign, the Vessel). Ricberta is diadem; Rinsa is route 'both'. Ties to Rinsa's own diadem note ('you cannot cross the wall at the Throat without a guide'). Platonic chain, capped at A.</t>
        </is>
      </c>
    </row>
    <row r="50">
      <c r="A50" s="17" t="inlineStr">
        <is>
          <t>sup_ricberta_kest</t>
        </is>
      </c>
      <c r="B50" s="17" t="inlineStr">
        <is>
          <t>u_ricberta</t>
        </is>
      </c>
      <c r="C50" s="17" t="inlineStr">
        <is>
          <t>u_kest</t>
        </is>
      </c>
      <c r="D50" s="17" t="inlineStr">
        <is>
          <t>sgn_crab</t>
        </is>
      </c>
      <c r="E50" s="17" t="inlineStr">
        <is>
          <t>sgn_twins</t>
        </is>
      </c>
      <c r="F50" s="17" t="inlineStr">
        <is>
          <t>no</t>
        </is>
      </c>
      <c r="G50" s="17" t="inlineStr">
        <is>
          <t>drafted</t>
        </is>
      </c>
      <c r="H50" s="17" t="inlineStr">
        <is>
          <t>C: Ricberta's levy loses a small requisition to what looks like ordinary pilferage; she tracks it, methodically, the way she tracks everything, and it leads her straight to Kest. B: Kest, cornered, runs the usual argument in her head about whether to talk or bolt, and Ricberta -- reading the hesitation, not the theft -- asks flatly what she was actually arguing about. Kest, thrown by the precision of the question, admits it wasn't really about the requisition; she takes small things sometimes just to prove she still decides something, since so much else about her life was decided for her. A: Ricberta recognizes the shape of that more than she expects to -- her own literacy is the one thing about her life she's kept entirely to her own decision, hidden specifically so nobody else gets to decide what happens to it. She doesn't report the theft. She tells Kest, plainly, that deciding something small and keeping it yours is a real thing to protect, and offers her a legitimate version of it instead: a standing arrangement to flag whatever the levy's about to lose anyway, so Kest gets to keep deciding, on the record, instead of hiding it.</t>
        </is>
      </c>
      <c r="I50" s="17" t="inlineStr">
        <is>
          <t>Ricberta=Crab reused from Ricberta/Sigrun. Kest's sign (the Twins) is her own already-stated sign, reused verbatim. Crab's own failure mode (hiding a decision to keep it entirely one's own) recognized directly in Kest's compulsive small thefts -- read as the same need for an undecided-by-anyone-else act, given a legitimate outlet instead of a moral lecture. Platonic chain, capped at A.</t>
        </is>
      </c>
    </row>
    <row r="51">
      <c r="A51" s="17" t="inlineStr">
        <is>
          <t>sup_emmerich_sigrun</t>
        </is>
      </c>
      <c r="B51" s="17" t="inlineStr">
        <is>
          <t>u_emmerich</t>
        </is>
      </c>
      <c r="C51" s="17" t="inlineStr">
        <is>
          <t>u_sigrun</t>
        </is>
      </c>
      <c r="D51" s="17" t="inlineStr">
        <is>
          <t>sgn_lion</t>
        </is>
      </c>
      <c r="E51" s="17" t="inlineStr">
        <is>
          <t>sgn_archer</t>
        </is>
      </c>
      <c r="F51" s="17" t="inlineStr">
        <is>
          <t>no</t>
        </is>
      </c>
      <c r="G51" s="17" t="inlineStr">
        <is>
          <t>drafted</t>
        </is>
      </c>
      <c r="H51" s="17" t="inlineStr">
        <is>
          <t>C: Sigrun's dispatches reach Emmerich's desk unsigned, and he needs receipts for the Baron. She refuses to sign for them; stopping to sign costs the very minutes the dispatch exists to save. B: Emmerich admits an unsigned dispatch is one nobody gets credited for, which is most of what his job is: anonymous work that only becomes visible when it goes wrong. Sigrun, who has never once been credited in a report, realizes he's describing her life from the other side of the desk. A: Emmerich starts logging her rides in the showcase as her own line item. Sigrun tells him the true thing at the worst moment: the Baron doesn't read that page. Emmerich says he knows, and writes it anyway, for the person named in it. It's the first time in years her name has appeared on anything, and neither of them mentions that it isn't for the Baron.</t>
        </is>
      </c>
      <c r="I51" s="17" t="inlineStr">
        <is>
          <t>Both signs reused verbatim (Emmerich=Lion from Jost/Emmerich, Sigrun=Archer from Ricberta/Sigrun). Both diadem-route. Lion's need to be seen redirected into seeing someone else; Archer's failure mode supplies the blunt line that stops the gesture being about the Baron. Platonic chain, capped at A.</t>
        </is>
      </c>
    </row>
    <row r="52">
      <c r="A52" s="17" t="inlineStr">
        <is>
          <t>sup_emmerich_waldrada</t>
        </is>
      </c>
      <c r="B52" s="17" t="inlineStr">
        <is>
          <t>u_emmerich</t>
        </is>
      </c>
      <c r="C52" s="17" t="inlineStr">
        <is>
          <t>u_waldrada</t>
        </is>
      </c>
      <c r="D52" s="17" t="inlineStr">
        <is>
          <t>sgn_lion</t>
        </is>
      </c>
      <c r="E52" s="17" t="inlineStr">
        <is>
          <t>sgn_scales</t>
        </is>
      </c>
      <c r="F52" s="17" t="inlineStr">
        <is>
          <t>yes</t>
        </is>
      </c>
      <c r="G52" s="17" t="inlineStr">
        <is>
          <t>drafted</t>
        </is>
      </c>
      <c r="H52" s="17" t="inlineStr">
        <is>
          <t>C: Emmerich's requisition reports keep crediting Waldrada's flights with cargo she never actually delivered -- an accounting shortcut, not malice -- and she calls him on it in front of the Baron, which he does not forgive quickly. B: Waldrada, still weighing whether the diadem's own bookkeeping is any more honest than the assembly's she defected from, starts actually reading Emmerich's ledgers instead of just resenting them, and finds he flags his own errors before anyone else catches them -- more than was ever asked of her under the assembly. A: Emmerich admits the showcase reports are half theater -- the Baron needs the diadem line to look competent more than he needs it accurate, and Emmerich is stuck producing both truths at once. Waldrada recognizes the position exactly: performing loyalty while the real math tells a different story. S (romance): Waldrada stops weighing whether the diadem deserves any more trust than the assembly did; Emmerich gets one ledger he doesn't have to cook -- hers, kept scrupulously, on his side, for reasons that have nothing to do with the Baron.</t>
        </is>
      </c>
      <c r="I52" s="17" t="inlineStr">
        <is>
          <t>Both signs reused verbatim from their own established chains above (Emmerich=Lion from Jost/Emmerich, Waldrada=Scales from Waldrada/Edda) -- same unit, same sign, not reassigned per pairing, the same convention as Kest/Rinsa's fixed unit signs. Both diadem-route (ch_d02), consistent with the original skeleton note -- a different-sex option distinct from Waldrada's cross-route pairing with Edda above.</t>
        </is>
      </c>
    </row>
    <row r="53">
      <c r="A53" s="17" t="inlineStr">
        <is>
          <t>sup_emmerich_tancred</t>
        </is>
      </c>
      <c r="B53" s="17" t="inlineStr">
        <is>
          <t>u_emmerich</t>
        </is>
      </c>
      <c r="C53" s="17" t="inlineStr">
        <is>
          <t>u_tancred</t>
        </is>
      </c>
      <c r="D53" s="17" t="inlineStr">
        <is>
          <t>sgn_lion</t>
        </is>
      </c>
      <c r="E53" s="17" t="inlineStr">
        <is>
          <t>sgn_goat</t>
        </is>
      </c>
      <c r="F53" s="17" t="inlineStr">
        <is>
          <t>no</t>
        </is>
      </c>
      <c r="G53" s="17" t="inlineStr">
        <is>
          <t>drafted</t>
        </is>
      </c>
      <c r="H53" s="17" t="inlineStr">
        <is>
          <t>C: Emmerich waves off the Pardoner line's requisitions as trivia and asks Tancred to consolidate them. Tancred asks him, politely, to file them as they are. B: Emmerich notices the requests are always the same three items, week after week, for years. It is the steadiest line in his ledger and he had never looked at it. A: Tancred says being in the ledger at all means someone counted him, and that's worth more than being noticed. Emmerich, whose whole fear is not being counted, hears that as a thing he has been doing for other people without knowing it. He starts writing Tancred's line first on each page, and the Baron's showcase quietly begins to include steady work alongside the impressive kind.</t>
        </is>
      </c>
      <c r="I53" s="17" t="inlineStr">
        <is>
          <t>Both signs reused verbatim (Emmerich=Lion from Jost/Emmerich, Tancred=Goat from Tancred/Anselm). Both diadem-route. Goat's unglamorous, repeated work is exactly what a Lion clerk's ledger never used to reward. Platonic chain, capped at A.</t>
        </is>
      </c>
    </row>
    <row r="54">
      <c r="A54" s="17" t="inlineStr">
        <is>
          <t>sup_emmerich_maren</t>
        </is>
      </c>
      <c r="B54" s="17" t="inlineStr">
        <is>
          <t>u_emmerich</t>
        </is>
      </c>
      <c r="C54" s="17" t="inlineStr">
        <is>
          <t>u_maren</t>
        </is>
      </c>
      <c r="D54" s="17" t="inlineStr">
        <is>
          <t>sgn_lion</t>
        </is>
      </c>
      <c r="E54" s="17" t="inlineStr">
        <is>
          <t>sgn_crab</t>
        </is>
      </c>
      <c r="F54" s="17" t="inlineStr">
        <is>
          <t>no</t>
        </is>
      </c>
      <c r="G54" s="17" t="inlineStr">
        <is>
          <t>drafted</t>
        </is>
      </c>
      <c r="H54" s="17" t="inlineStr">
        <is>
          <t>C: Maren's dole ledger doesn't reconcile with Emmerich's requisition figures, and he audits it with the thoroughness of a man who dreads being wrong more than anything. Maren tells him the numbers are people and he should be careful with them. B: Emmerich finds her ledger has a second column he has never seen in any ledger: names. He asks why, and Maren says a shortage with a name attached gets fixed faster than one without. He checks, and she's right. A: He begins adding a names column to the dole requisitions, and the Baron's showcase suddenly shows humans in it instead of totals. Maren says it's the first audit that made her line bigger instead of smaller. Emmerich admits that being seen to do it well matters less when the name in the column is real -- and that he'd rather be right about forty names than impressive about four thousand.</t>
        </is>
      </c>
      <c r="I54" s="17" t="inlineStr">
        <is>
          <t>Both signs reused verbatim (Emmerich=Lion from Jost/Emmerich, Maren=Crab from Avatar/Maren). Cross-route (diadem/assembly), post-convergence. Crab's loyalty to people over allotment logic gives Lion's need for visible competence something concrete to be competent about. Platonic chain, capped at A.</t>
        </is>
      </c>
    </row>
    <row r="55">
      <c r="A55" s="17" t="inlineStr">
        <is>
          <t>sup_emmerich_brandt</t>
        </is>
      </c>
      <c r="B55" s="17" t="inlineStr">
        <is>
          <t>u_emmerich</t>
        </is>
      </c>
      <c r="C55" s="17" t="inlineStr">
        <is>
          <t>u_brandt</t>
        </is>
      </c>
      <c r="D55" s="17" t="inlineStr">
        <is>
          <t>sgn_lion</t>
        </is>
      </c>
      <c r="E55" s="17" t="inlineStr">
        <is>
          <t>sgn_bull</t>
        </is>
      </c>
      <c r="F55" s="17" t="inlineStr">
        <is>
          <t>no</t>
        </is>
      </c>
      <c r="G55" s="17" t="inlineStr">
        <is>
          <t>drafted</t>
        </is>
      </c>
      <c r="H55" s="17" t="inlineStr">
        <is>
          <t>C: Emmerich's showcase reports keep describing Brandt's gate crew in glowing, exaggerated terms for the Baron's benefit; Brandt reads one, eventually, and tells him flatly to stop -- the exaggeration makes the real thing look like it needs dressing up. B: Emmerich admits he dresses up every report that way, not just Brandt's -- it's not really about the gate, it's that plain, accurate competence has never once been enough to keep him safe from scrutiny, so he inflates everything as a hedge. Brandt, who's never once needed to be seen as more than he is to feel secure in his post, doesn't understand the hedge but doesn't dismiss it either. A: Brandt tells him plainly that his own gate has held on exactly the reputation it deserves, no more, and that's been enough for years -- maybe the hedge is costing Emmerich more than the risk it's protecting against. Emmerich admits the fear's bigger than any single report; still, for Brandt specifically, he starts writing it straight, no inflation, just to see what it feels like. Nothing goes wrong. Brandt gets an honest line in the record. Emmerich gets one report he doesn't lie awake over.</t>
        </is>
      </c>
      <c r="I55" s="17" t="inlineStr">
        <is>
          <t>Both signs reused verbatim (Emmerich=Lion from Jost/Emmerich, Brandt=Bull from Brandt/Solveig). Lion's failure mode ('cannot take a demotion gracefully') tested directly against Bull's own security in being exactly what he is, no more -- one honest report as a small, controlled experiment. Platonic chain, capped at A.</t>
        </is>
      </c>
    </row>
    <row r="56">
      <c r="A56" s="17" t="inlineStr">
        <is>
          <t>sup_emmerich_solveig</t>
        </is>
      </c>
      <c r="B56" s="17" t="inlineStr">
        <is>
          <t>u_emmerich</t>
        </is>
      </c>
      <c r="C56" s="17" t="inlineStr">
        <is>
          <t>u_solveig</t>
        </is>
      </c>
      <c r="D56" s="17" t="inlineStr">
        <is>
          <t>sgn_lion</t>
        </is>
      </c>
      <c r="E56" s="17" t="inlineStr">
        <is>
          <t>sgn_vessel</t>
        </is>
      </c>
      <c r="F56" s="17" t="inlineStr">
        <is>
          <t>no</t>
        </is>
      </c>
      <c r="G56" s="17" t="inlineStr">
        <is>
          <t>drafted</t>
        </is>
      </c>
      <c r="H56" s="17" t="inlineStr">
        <is>
          <t>C: Emmerich needs Solveig's family to countersign a manifest, and discovers they sign everything as prophecy-blessed without reading it. He is horrified. B: Solveig admits she has never read what she has signed for. Nobody ever asked her to. Emmerich, whose whole life is reading what other people sign, doesn't know what to say. A: He offers to read the manifests aloud before she signs. For once she signs what she actually knows. Emmerich realizes that someone is finally listening to his ledger the way it was meant to be heard, which the Baron never will. Solveig starts asking questions before she signs. Her family notices, and says nothing.</t>
        </is>
      </c>
      <c r="I56" s="17" t="inlineStr">
        <is>
          <t>Both signs reused verbatim (Emmerich=Lion from Jost/Emmerich, Solveig=Vessel from Brandt/Solveig). Cross-route (diadem/assembly), post-convergence. Lion's need to be seen doing careful work meets Vessel's habit of signing over what she was handed. Platonic chain, capped at A.</t>
        </is>
      </c>
    </row>
    <row r="57">
      <c r="A57" s="17" t="inlineStr">
        <is>
          <t>sup_emmerich_gunnar</t>
        </is>
      </c>
      <c r="B57" s="17" t="inlineStr">
        <is>
          <t>u_emmerich</t>
        </is>
      </c>
      <c r="C57" s="17" t="inlineStr">
        <is>
          <t>u_gunnar</t>
        </is>
      </c>
      <c r="D57" s="17" t="inlineStr">
        <is>
          <t>sgn_lion</t>
        </is>
      </c>
      <c r="E57" s="17" t="inlineStr">
        <is>
          <t>sgn_goat</t>
        </is>
      </c>
      <c r="F57" s="17" t="inlineStr">
        <is>
          <t>no</t>
        </is>
      </c>
      <c r="G57" s="17" t="inlineStr">
        <is>
          <t>drafted</t>
        </is>
      </c>
      <c r="H57" s="17" t="inlineStr">
        <is>
          <t>C: Emmerich's requisition for crossbow bolts doesn't match Gunnar's own count, which he keeps by feel and nowhere else. Emmerich is horrified that any number is unrecorded. B: Gunnar says his count is exact. Emmerich, who has never trusted a number nobody wrote down, decides to test it. He writes down what he thinks the number is and compares. A: Gunnar is right every time. Emmerich tests him over a week and can't catch him once. He finally lets the count stand as a number and enters it in the ledger, in Gunnar's name. For the first time the ledger and the man agree, and neither had to change.</t>
        </is>
      </c>
      <c r="I57" s="17" t="inlineStr">
        <is>
          <t>Both signs reused verbatim (Emmerich=Lion from Jost/Emmerich, Gunnar=Goat from Gunnar/Edda). Cross-route (diadem/assembly), post-convergence. Goat's exacting craft meets Lion's ledger anxiety. Platonic chain, capped at A.</t>
        </is>
      </c>
    </row>
    <row r="58">
      <c r="A58" s="17" t="inlineStr">
        <is>
          <t>sup_emmerich_edda</t>
        </is>
      </c>
      <c r="B58" s="17" t="inlineStr">
        <is>
          <t>u_emmerich</t>
        </is>
      </c>
      <c r="C58" s="17" t="inlineStr">
        <is>
          <t>u_edda</t>
        </is>
      </c>
      <c r="D58" s="17" t="inlineStr">
        <is>
          <t>sgn_lion</t>
        </is>
      </c>
      <c r="E58" s="17" t="inlineStr">
        <is>
          <t>sgn_maiden</t>
        </is>
      </c>
      <c r="F58" s="17" t="inlineStr">
        <is>
          <t>no</t>
        </is>
      </c>
      <c r="G58" s="17" t="inlineStr">
        <is>
          <t>drafted</t>
        </is>
      </c>
      <c r="H58" s="17" t="inlineStr">
        <is>
          <t>C: Edda notices a discrepancy in one of Emmerich's showcase reports and tells him privately, at the end of a long day, rather than in front of anyone. He goes pale. B: He waits for the correction to become public. It doesn't. Edda says the record exists to be right, not to shame whoever got it wrong. Emmerich, who has spent his career expecting the opposite, doesn't quite believe her. A: He asks her to check the reports before the Baron sees them. Edda, whose failure mode is correcting people who didn't ask, is oddly pleased to be asked. She becomes his quiet proofreader, and the showcase becomes accurate without either of them mentioning it. Emmerich admits he sleeps better. Edda admits she likes being useful before the error, not after.</t>
        </is>
      </c>
      <c r="I58" s="17" t="inlineStr">
        <is>
          <t>Both signs reused verbatim (Emmerich=Lion from Jost/Emmerich, Edda=Maiden from Waldrada/Edda). Cross-route (diadem/assembly), post-convergence. Maiden's failure mode ('corrects people who did not ask') inverted by an invitation. Platonic chain, capped at A.</t>
        </is>
      </c>
    </row>
    <row r="59">
      <c r="A59" s="17" t="inlineStr">
        <is>
          <t>sup_emmerich_anselm</t>
        </is>
      </c>
      <c r="B59" s="17" t="inlineStr">
        <is>
          <t>u_emmerich</t>
        </is>
      </c>
      <c r="C59" s="17" t="inlineStr">
        <is>
          <t>u_anselm</t>
        </is>
      </c>
      <c r="D59" s="17" t="inlineStr">
        <is>
          <t>sgn_lion</t>
        </is>
      </c>
      <c r="E59" s="17" t="inlineStr">
        <is>
          <t>sgn_fishes</t>
        </is>
      </c>
      <c r="F59" s="17" t="inlineStr">
        <is>
          <t>no</t>
        </is>
      </c>
      <c r="G59" s="17" t="inlineStr">
        <is>
          <t>drafted</t>
        </is>
      </c>
      <c r="H59" s="17" t="inlineStr">
        <is>
          <t>C: Emmerich, terrified of being caught in an error in front of the Baron, asks Anselm -- half-joking -- whether the order has a blessing for accountants. Anselm's answer is a real one: no, because accuracy isn't a virtue their doctrine tracks, only intent, which Emmerich finds both useless and strangely comforting. B: Emmerich admits the fear isn't really about the Baron, it's that being visibly valued is the only thing keeping him from being reassigned somewhere he can't fix anything at all. Anselm, whose entire crisis is that he understands too many sides of a question to condemn or bless cleanly, recognizes a kindred fear dressed up as competence anxiety instead of doubt. A: Anselm offers him the one piece of his dissolved theology that still holds together: intent survives an error even when the ledger doesn't, and a Baron who can't tell the difference was never the audience worth keeping anyway. Emmerich doesn't stop being anxious about the showcase. He does start keeping a second, private ledger -- the honest one -- and tells Anselm it's the closest thing he has to a confession, unprompted, which is more than the monk's actual congregation has managed lately.</t>
        </is>
      </c>
      <c r="I59" s="17" t="inlineStr">
        <is>
          <t>Both signs reused verbatim (Emmerich=Lion from Jost/Emmerich, Anselm=Fishes from Tancred/Anselm). Cross-route (diadem/assembly), post-convergence, same convention as Waldrada/Edda and Dietmar/Torvald. Lion's failure mode ('cannot take a demotion gracefully') read as showcase-anxiety, met by Fishes' virtue (understands too many sides to condemn cleanly) offering the one piece of doctrine that actually helps. Platonic chain, capped at A.</t>
        </is>
      </c>
    </row>
    <row r="60">
      <c r="A60" s="17" t="inlineStr">
        <is>
          <t>sup_emmerich_kheldar</t>
        </is>
      </c>
      <c r="B60" s="17" t="inlineStr">
        <is>
          <t>u_emmerich</t>
        </is>
      </c>
      <c r="C60" s="17" t="inlineStr">
        <is>
          <t>u_kheldar</t>
        </is>
      </c>
      <c r="D60" s="17" t="inlineStr">
        <is>
          <t>sgn_lion</t>
        </is>
      </c>
      <c r="E60" s="17" t="inlineStr">
        <is>
          <t>sgn_scorpion</t>
        </is>
      </c>
      <c r="F60" s="17" t="inlineStr">
        <is>
          <t>no</t>
        </is>
      </c>
      <c r="G60" s="17" t="inlineStr">
        <is>
          <t>drafted</t>
        </is>
      </c>
      <c r="H60" s="17" t="inlineStr">
        <is>
          <t>C: Emmerich's ledgers have a Kheldar-shaped hole in them that he's known about for months and never reported, which eats at him more than any error he's actually caught. B: Kheldar, amused, points out that reporting him would cost Emmerich the one manifest that always balances -- a smuggler who's good enough to make the books look clean is worth more to a showcase clerk than an honest one who isn't. Emmerich hates that this is true and hates more that he'd already worked it out himself. A: Emmerich admits the real fear isn't Kheldar, it's that the Baron's showcase was never really about accuracy, and Kheldar's the only person who's said so to his face instead of letting him find out alone. Kheldar, who has made a career out of being the discrepancy no one can afford to close, offers him something closer to honesty than either expected: he'll keep the numbers clean exactly as long as it's useful to both of them, no further promises -- which is more truth than the Baron's ever gotten out of either man.</t>
        </is>
      </c>
      <c r="I60" s="17" t="inlineStr">
        <is>
          <t>Both signs reused verbatim from their own established chains (Emmerich=Lion from Jost/Emmerich, Kheldar=Scorpion from Kheldar/Kest above). Direct mechanical tie: Emmerich's own note ('requisitions clerk') is exactly the job that should catch Kheldar's own note ('manifest discrepancy thread') -- the chain is built on the clerk quietly choosing not to catch him. Platonic/rivalry chain, capped at A.</t>
        </is>
      </c>
    </row>
    <row r="61">
      <c r="A61" s="17" t="inlineStr">
        <is>
          <t>sup_emmerich_dietmar</t>
        </is>
      </c>
      <c r="B61" s="17" t="inlineStr">
        <is>
          <t>u_emmerich</t>
        </is>
      </c>
      <c r="C61" s="17" t="inlineStr">
        <is>
          <t>u_dietmar</t>
        </is>
      </c>
      <c r="D61" s="17" t="inlineStr">
        <is>
          <t>sgn_lion</t>
        </is>
      </c>
      <c r="E61" s="17" t="inlineStr">
        <is>
          <t>sgn_lion</t>
        </is>
      </c>
      <c r="F61" s="17" t="inlineStr">
        <is>
          <t>no</t>
        </is>
      </c>
      <c r="G61" s="17" t="inlineStr">
        <is>
          <t>drafted</t>
        </is>
      </c>
      <c r="H61" s="17" t="inlineStr">
        <is>
          <t>C: Emmerich's showcase reports keep quietly using Dietmar's gate-holding deed as proof the diadem's old guard still delivers; Dietmar, who hasn't seen the actual language, is furious to learn he's being cited without being asked. B: Emmerich admits he needed a legend more than he needed permission -- the Baron wanted proof the diadem's past still justifies its present, and Dietmar's deed was the only material he had. Dietmar, whose entire crisis is needing to still be seen as relevant, discovers being used for exactly that purpose feels worse than being ignored would have. A: Dietmar admits what's actually under the fury: being cited as a legend and being seen as a person aren't the same thing, and Emmerich's showcase does the first while doing nothing for the second. Emmerich, whose own fear is being reduced to a number in someone else's report, recognizes the complaint as his own, aimed back at him for once. He starts asking Dietmar what to actually write, instead of writing what's convenient and citing him after. Two men who each need to be seen accurately, not just seen, finally being that for each other instead of the Baron.</t>
        </is>
      </c>
      <c r="I61" s="17" t="inlineStr">
        <is>
          <t>Both units already carry the Lion sign from their own established chains (Emmerich from Jost/Emmerich, Dietmar from Dietmar/Torvald) -- a third sign-mirror pairing (after the Crab and Vessel mirrors), deliberately leaned into: two men whose shared failure mode ('cannot take a demotion gracefully') collide directly when one uses the other as material instead of treating him as a person. Both diadem-route. Platonic chain, capped at A.</t>
        </is>
      </c>
    </row>
    <row r="62">
      <c r="A62" s="17" t="inlineStr">
        <is>
          <t>sup_emmerich_torvald</t>
        </is>
      </c>
      <c r="B62" s="17" t="inlineStr">
        <is>
          <t>u_emmerich</t>
        </is>
      </c>
      <c r="C62" s="17" t="inlineStr">
        <is>
          <t>u_torvald</t>
        </is>
      </c>
      <c r="D62" s="17" t="inlineStr">
        <is>
          <t>sgn_lion</t>
        </is>
      </c>
      <c r="E62" s="17" t="inlineStr">
        <is>
          <t>sgn_crab</t>
        </is>
      </c>
      <c r="F62" s="17" t="inlineStr">
        <is>
          <t>no</t>
        </is>
      </c>
      <c r="G62" s="17" t="inlineStr">
        <is>
          <t>drafted</t>
        </is>
      </c>
      <c r="H62" s="17" t="inlineStr">
        <is>
          <t>C: Emmerich's requisition math keeps assuming Torvald's unit needs resupply at the same rate as everyone else's; Torvald corrects him -- there's almost no unit left to supply, and the numbers should say so plainly instead of politely rounding up. B: Emmerich admits the rounding is deliberate -- an accurate line for 'one aging knight and no order behind him' would draw exactly the kind of attention that gets a unit quietly retired, and he's been protecting Torvald's post without asking. Torvald, who has never once let anyone manage his situation for him, is more unsettled by the kindness than he'd be by the threat. A: Torvald tells him plainly he'd rather be an accurate line than a flattered one -- being seen honestly and cut is still being seen, and Emmerich's whole fear is the opposite of that, being erased quietly instead of honestly. Emmerich, whose entire anxiety runs on being visibly valued, starts entering Torvald's numbers straight, no rounding, and finds the Baron never even notices. Neither of their fears turn out to be about the ledger at all.</t>
        </is>
      </c>
      <c r="I62" s="17" t="inlineStr">
        <is>
          <t>Both signs reused verbatim (Emmerich=Lion from Jost/Emmerich, Torvald=Crab from Ricberta/Torvald above). Cross-route (diadem/assembly), post-convergence. Direct mechanical tie: Emmerich's own note ('requisitions clerk') applied literally to Torvald's own note ('last of a plague-gutted order') -- what an honest requisition line for a unit of one actually looks like. Platonic chain, capped at A.</t>
        </is>
      </c>
    </row>
    <row r="63">
      <c r="A63" s="17" t="inlineStr">
        <is>
          <t>sup_emmerich_rinsa</t>
        </is>
      </c>
      <c r="B63" s="17" t="inlineStr">
        <is>
          <t>u_emmerich</t>
        </is>
      </c>
      <c r="C63" s="17" t="inlineStr">
        <is>
          <t>u_rinsa</t>
        </is>
      </c>
      <c r="D63" s="17" t="inlineStr">
        <is>
          <t>sgn_lion</t>
        </is>
      </c>
      <c r="E63" s="17" t="inlineStr">
        <is>
          <t>sgn_vessel</t>
        </is>
      </c>
      <c r="F63" s="17" t="inlineStr">
        <is>
          <t>no</t>
        </is>
      </c>
      <c r="G63" s="17" t="inlineStr">
        <is>
          <t>drafted</t>
        </is>
      </c>
      <c r="H63" s="17" t="inlineStr">
        <is>
          <t>C: Emmerich, curious about a job stranger than requisitions, asks Rinsa if she ever worries about being good enough at the descent. Rinsa tells him the question doesn't apply -- there's no scoring, no audience, just whether the person comes back up, and they always do. B: Emmerich admits he doesn't understand doing something that thoroughly without anyone grading it; his whole anxiety runs on the grading. Rinsa tells him plainly that the grading is the thing making him anxious, not the work itself -- and asks what his actual numbers look like without the Baron attached to them. A: Emmerich admits, when he actually separates the two, his numbers are fine -- good, even -- and the anxiety was never about competence, only about being watched while doing it. Rinsa, who has never once had an audience for the thing she's genuinely best at in the world, tells him that's a trade she'd take gladly: her own work disappears completely, no credit, no witness, and some days she'd like just one person to notice. Emmerich starts writing one report a month with nobody's name on it but his own, for practice, the way she works every day without anyone's at all.</t>
        </is>
      </c>
      <c r="I63" s="17" t="inlineStr">
        <is>
          <t>Emmerich=Lion reused from Jost/Emmerich. Rinsa's own already-stated sign, the Vessel, reused verbatim. Lion's failure mode ('cannot take a demotion gracefully') isolated from actual competence by Vessel's own total lack of an audience -- each envies what the other has too much or too little of. Platonic chain, capped at A.</t>
        </is>
      </c>
    </row>
    <row r="64">
      <c r="A64" s="17" t="inlineStr">
        <is>
          <t>sup_emmerich_kest</t>
        </is>
      </c>
      <c r="B64" s="17" t="inlineStr">
        <is>
          <t>u_emmerich</t>
        </is>
      </c>
      <c r="C64" s="17" t="inlineStr">
        <is>
          <t>u_kest</t>
        </is>
      </c>
      <c r="D64" s="17" t="inlineStr">
        <is>
          <t>sgn_lion</t>
        </is>
      </c>
      <c r="E64" s="17" t="inlineStr">
        <is>
          <t>sgn_twins</t>
        </is>
      </c>
      <c r="F64" s="17" t="inlineStr">
        <is>
          <t>no</t>
        </is>
      </c>
      <c r="G64" s="17" t="inlineStr">
        <is>
          <t>drafted</t>
        </is>
      </c>
      <c r="H64" s="17" t="inlineStr">
        <is>
          <t>C: Emmerich's ledgers have a Kest-shaped gap in them too, smaller than Kheldar's, sloppier, obviously amateur; he corners her about it mostly out of professional irritation at the imprecision. B: Kest, mid-argument with herself about whether admitting anything to a diadem clerk is smart, ends up telling him the truth almost by accident: she only takes what the count's already lost, same as always, and the imprecision he's annoyed by is just her not caring enough about his ledger to be careful. Emmerich, who cares about almost nothing as much as he cares about his ledger, finds this stranger than a real thief would be. A: Emmerich admits what's actually bothering him isn't the theft, it's being so easy to steal from without her even trying -- it means the showcase he's terrified of losing was never that impressive to begin with. Kest, whose whole method is arguing both sides until one wins, surprises herself by taking his side: she tells him the ledger's fine, she's just very good, and offers -- unprompted, a first for her -- to flag the actual gaps he should worry about instead. Emmerich gets a better auditor than he had. Kest gets the strange experience of being useful to someone without an angle.</t>
        </is>
      </c>
      <c r="I64" s="17" t="inlineStr">
        <is>
          <t>Emmerich=Lion reused from Jost/Emmerich. Kest's sign (the Twins) is her own already-stated sign, reused verbatim. A smaller-scale echo of the Kest/Kheldar rivalry chain, deliberately: same thief, different discrepancy-professional, different resolution (help instead of a working peace). Platonic chain, capped at A.</t>
        </is>
      </c>
    </row>
    <row r="65">
      <c r="A65" s="17" t="inlineStr">
        <is>
          <t>sup_sigrun_waldrada</t>
        </is>
      </c>
      <c r="B65" s="17" t="inlineStr">
        <is>
          <t>u_sigrun</t>
        </is>
      </c>
      <c r="C65" s="17" t="inlineStr">
        <is>
          <t>u_waldrada</t>
        </is>
      </c>
      <c r="D65" s="17" t="inlineStr">
        <is>
          <t>sgn_archer</t>
        </is>
      </c>
      <c r="E65" s="17" t="inlineStr">
        <is>
          <t>sgn_scales</t>
        </is>
      </c>
      <c r="F65" s="17" t="inlineStr">
        <is>
          <t>no</t>
        </is>
      </c>
      <c r="G65" s="17" t="inlineStr">
        <is>
          <t>drafted</t>
        </is>
      </c>
      <c r="H65" s="17" t="inlineStr">
        <is>
          <t>C: Diadem's two mounted couriers -- one horse, one wing -- end up delivering the same dispatch twice, redundantly, and spend the debrief arguing whose route was actually faster instead of who wasted the ride. B: Sigrun clocks that Waldrada takes the long way around certain checkpoints on purpose, and asks why. Waldrada admits some of those checkpoints are staffed by people she used to answer to under the assembly, and she's not ready to be recognized yet. A: Sigrun, whose own worst habit is saying the true thing at the worst possible moment, tells her outright: avoiding the checkpoint doesn't undo the defection, it just makes her look like she's still choosing a side by hiding from one. Waldrada, still weighing the whole question the way she weighs everything, admits Sigrun's right and hates that the shortest path is also the one she has to fly in the open. She starts taking the direct route. Sigrun starts riding escort on that leg, unasked, so being seen doesn't mean being seen alone.</t>
        </is>
      </c>
      <c r="I65" s="17" t="inlineStr">
        <is>
          <t>Both signs reused verbatim (Sigrun=Archer from Ricberta/Sigrun, Waldrada=Scales from Waldrada/Edda). Both diadem-route mounted couriers -- Archer's failure mode ('says the true thing at the worst moment') as the literal mechanism that forces Scales' failure mode ('delay disguised as deliberation') into the open. Platonic chain, capped at A.</t>
        </is>
      </c>
    </row>
    <row r="66">
      <c r="A66" s="17" t="inlineStr">
        <is>
          <t>sup_sigrun_tancred</t>
        </is>
      </c>
      <c r="B66" s="17" t="inlineStr">
        <is>
          <t>u_sigrun</t>
        </is>
      </c>
      <c r="C66" s="17" t="inlineStr">
        <is>
          <t>u_tancred</t>
        </is>
      </c>
      <c r="D66" s="17" t="inlineStr">
        <is>
          <t>sgn_archer</t>
        </is>
      </c>
      <c r="E66" s="17" t="inlineStr">
        <is>
          <t>sgn_goat</t>
        </is>
      </c>
      <c r="F66" s="17" t="inlineStr">
        <is>
          <t>no</t>
        </is>
      </c>
      <c r="G66" s="17" t="inlineStr">
        <is>
          <t>drafted</t>
        </is>
      </c>
      <c r="H66" s="17" t="inlineStr">
        <is>
          <t>C: Sigrun and Tancred travel together to a village and she is visibly impatient with his pace. She has a dispatch to deliver and he keeps stopping. B: He stops to fix a well rope, which she calls a delay. Tancred says it's what the village will remember. Sigrun says the true thing at the worst moment: nobody remembers a rope. Tancred says they do, all winter. A: She stays to help with the rope. The dispatch arrives two hours late and nobody minds. It is the first late delivery of her career, and she does not apologize for it. Tancred says nothing. He hands her the other end of the rope.</t>
        </is>
      </c>
      <c r="I66" s="17" t="inlineStr">
        <is>
          <t>Both signs reused verbatim (Sigrun=Archer from Ricberta/Sigrun, Tancred=Goat from Tancred/Anselm). Both diadem-route. Archer's speed against Goat's unglamorous repeated work. Platonic chain, capped at A.</t>
        </is>
      </c>
    </row>
    <row r="67">
      <c r="A67" s="17" t="inlineStr">
        <is>
          <t>sup_sigrun_maren</t>
        </is>
      </c>
      <c r="B67" s="17" t="inlineStr">
        <is>
          <t>u_sigrun</t>
        </is>
      </c>
      <c r="C67" s="17" t="inlineStr">
        <is>
          <t>u_maren</t>
        </is>
      </c>
      <c r="D67" s="17" t="inlineStr">
        <is>
          <t>sgn_archer</t>
        </is>
      </c>
      <c r="E67" s="17" t="inlineStr">
        <is>
          <t>sgn_crab</t>
        </is>
      </c>
      <c r="F67" s="17" t="inlineStr">
        <is>
          <t>no</t>
        </is>
      </c>
      <c r="G67" s="17" t="inlineStr">
        <is>
          <t>drafted</t>
        </is>
      </c>
      <c r="H67" s="17" t="inlineStr">
        <is>
          <t>C: Sigrun's dispatches keep arriving at the dole line with bad news -- shortages, delays -- and Maren's started associating her specifically with things getting worse, unfairly, since Sigrun's only ever the messenger. B: Sigrun, stung by being blamed for news she didn't make, tells Maren plainly that shooting the courier doesn't fix the shortage. Maren admits she knows that and does it anyway, because Sigrun's the only part of the bad news she can actually see arrive, and the dole line needs somewhere to put the feeling that isn't the shortage itself. A: Sigrun offers a trade instead of an argument: she'll start bringing Maren the numbers a day early, off the record, so the dole line has more time to plan instead of just react to bad news landing on top of it. Maren, whose whole practice is deciding who gets her real attention, recognizes the offer for what it is -- not an apology, a fix -- and gives Sigrun the thing she actually wants back: being seen as useful instead of as the shape bad news happens to arrive in.</t>
        </is>
      </c>
      <c r="I67" s="17" t="inlineStr">
        <is>
          <t>Both signs reused verbatim (Sigrun=Archer from Ricberta/Sigrun, Maren=Crab from Avatar/Maren). Archer's own function (the scout who comes back with the thing you needed) complicated by Crab's failure mode (loyalty to people that shows as blame when the news is bad) -- resolved practically, not just emotionally. Platonic chain, capped at A.</t>
        </is>
      </c>
    </row>
    <row r="68">
      <c r="A68" s="17" t="inlineStr">
        <is>
          <t>sup_sigrun_brandt</t>
        </is>
      </c>
      <c r="B68" s="17" t="inlineStr">
        <is>
          <t>u_sigrun</t>
        </is>
      </c>
      <c r="C68" s="17" t="inlineStr">
        <is>
          <t>u_brandt</t>
        </is>
      </c>
      <c r="D68" s="17" t="inlineStr">
        <is>
          <t>sgn_archer</t>
        </is>
      </c>
      <c r="E68" s="17" t="inlineStr">
        <is>
          <t>sgn_bull</t>
        </is>
      </c>
      <c r="F68" s="17" t="inlineStr">
        <is>
          <t>no</t>
        </is>
      </c>
      <c r="G68" s="17" t="inlineStr">
        <is>
          <t>drafted</t>
        </is>
      </c>
      <c r="H68" s="17" t="inlineStr">
        <is>
          <t>C: Sigrun's dispatches keep arriving at Brandt's gate faster than his own watch rotation can process them; he tells her, without much heat, that speed isn't the same as usefulness if nobody's ready to act on the news. B: Sigrun takes the correction harder than he means it -- being fast and right is the whole of her value, and being told it doesn't land clean is the worst thing anyone's said to her about the job. Brandt, who has never once needed to be fast at anything, admits he only meant his own gate crew is slow, not that her riding wasn't good; the fault was never hers. A: Sigrun admits what actually stung: she says the true thing at the worst moment more often than she'd like, and 'your speed doesn't help if we're not ready' landed exactly like every other time that's cost her. Brandt, whose whole competence is being ready for a hit whenever it lands, tells her that's a gate's job, not a courier's -- she rides it in, he holds what she brings, and neither one has to be the whole system alone. It's the first time being fast has felt like half a job instead of the whole one she has to defend by herself.</t>
        </is>
      </c>
      <c r="I68" s="17" t="inlineStr">
        <is>
          <t>Both signs reused verbatim (Sigrun=Archer from Ricberta/Sigrun, Brandt=Bull from Brandt/Solveig). Cross-route (diadem/assembly), post-convergence. Archer's failure mode ('says the true thing at the worst moment') as the literal friction, resolved by Bull's virtue ('holds ground nobody else could') reframed as complementary rather than competing roles. Platonic chain, capped at A.</t>
        </is>
      </c>
    </row>
    <row r="69">
      <c r="A69" s="17" t="inlineStr">
        <is>
          <t>sup_sigrun_solveig</t>
        </is>
      </c>
      <c r="B69" s="17" t="inlineStr">
        <is>
          <t>u_sigrun</t>
        </is>
      </c>
      <c r="C69" s="17" t="inlineStr">
        <is>
          <t>u_solveig</t>
        </is>
      </c>
      <c r="D69" s="17" t="inlineStr">
        <is>
          <t>sgn_archer</t>
        </is>
      </c>
      <c r="E69" s="17" t="inlineStr">
        <is>
          <t>sgn_vessel</t>
        </is>
      </c>
      <c r="F69" s="17" t="inlineStr">
        <is>
          <t>no</t>
        </is>
      </c>
      <c r="G69" s="17" t="inlineStr">
        <is>
          <t>drafted</t>
        </is>
      </c>
      <c r="H69" s="17" t="inlineStr">
        <is>
          <t>C: Two couriers, one diadem one assembly, compare routes and speeds the way any two people who do the exact same job for opposite employers inevitably do -- with more edge than either admits to. B: Sigrun's needling ('your birds fly prettier, mine actually get there') lands somewhere real: Solveig's family expects the prophecy to arrive gracefully, not just arrive, and grace has cost her time on more than one run that mattered. Sigrun didn't know that was the standard she was being measured against, and stops needling once she does. A: Solveig admits she envies that Sigrun's speed is just her own -- nobody's waiting on her arrivals to mean anything beyond the message. Sigrun, whose worst habit is saying the true thing at the worst moment, tells her plainly that a courier who's only ever delivering somebody else's prophecy stops being a courier and starts being cargo -- and offers to race her, actually race her, no family, no stakes, just to remind her which one she is.</t>
        </is>
      </c>
      <c r="I69" s="17" t="inlineStr">
        <is>
          <t>Both signs reused verbatim from their own established chains (Sigrun=Archer from Ricberta/Sigrun, Solveig=Vessel from Brandt/Solveig) -- same unit, same sign, not reassigned. Cross-route (diadem Sigrun, assembly Solveig), post-convergence, both couriers by trade -- the professional mirror is the whole hook. Platonic chain, capped at A.</t>
        </is>
      </c>
    </row>
    <row r="70">
      <c r="A70" s="17" t="inlineStr">
        <is>
          <t>sup_sigrun_gunnar</t>
        </is>
      </c>
      <c r="B70" s="17" t="inlineStr">
        <is>
          <t>u_sigrun</t>
        </is>
      </c>
      <c r="C70" s="17" t="inlineStr">
        <is>
          <t>u_gunnar</t>
        </is>
      </c>
      <c r="D70" s="17" t="inlineStr">
        <is>
          <t>sgn_archer</t>
        </is>
      </c>
      <c r="E70" s="17" t="inlineStr">
        <is>
          <t>sgn_goat</t>
        </is>
      </c>
      <c r="F70" s="17" t="inlineStr">
        <is>
          <t>no</t>
        </is>
      </c>
      <c r="G70" s="17" t="inlineStr">
        <is>
          <t>drafted</t>
        </is>
      </c>
      <c r="H70" s="17" t="inlineStr">
        <is>
          <t>C: Sigrun's dispatch routes keep crossing Gunnar's hunting grounds; he tells her, without much patience, that a courier riding loud through a stalking line ruins a day's work in about ten seconds. B: Sigrun, stung, points out the dispatch has to get there regardless of whose hunt it interrupts; Gunnar admits that's fair and softens, some, once she asks what a quieter route would actually look like instead of just apologizing and doing the same thing again. Sigrun, who prides herself on getting there fast, finds herself genuinely curious about getting there quiet instead. A: Gunnar teaches her the quiet route, which costs her time she's not used to spending; Sigrun admits speed was never actually the requirement, just her own habit of assuming it was. Gunnar, who's spent decades being exact about which approach a moment actually calls for, tells her that's the whole skill -- not being fast, being right about what the moment needs -- and she's got the instincts for it, just never had a reason to use them before. Sigrun starts riding the quiet route when speed isn't the actual ask. Gunnar stops losing a day's stalking to a courier who used to ride through it loud.</t>
        </is>
      </c>
      <c r="I70" s="17" t="inlineStr">
        <is>
          <t>Both signs reused verbatim (Sigrun=Archer from Ricberta/Sigrun, Gunnar=Goat from Gunnar/Edda). Archer's own habit (ranges out fast, returns with news) checked by Goat's virtue (exacting, patient craft) -- speed reframed as a habit rather than a requirement. Platonic chain, capped at A.</t>
        </is>
      </c>
    </row>
    <row r="71">
      <c r="A71" s="17" t="inlineStr">
        <is>
          <t>sup_sigrun_edda</t>
        </is>
      </c>
      <c r="B71" s="17" t="inlineStr">
        <is>
          <t>u_sigrun</t>
        </is>
      </c>
      <c r="C71" s="17" t="inlineStr">
        <is>
          <t>u_edda</t>
        </is>
      </c>
      <c r="D71" s="17" t="inlineStr">
        <is>
          <t>sgn_archer</t>
        </is>
      </c>
      <c r="E71" s="17" t="inlineStr">
        <is>
          <t>sgn_maiden</t>
        </is>
      </c>
      <c r="F71" s="17" t="inlineStr">
        <is>
          <t>no</t>
        </is>
      </c>
      <c r="G71" s="17" t="inlineStr">
        <is>
          <t>drafted</t>
        </is>
      </c>
      <c r="H71" s="17" t="inlineStr">
        <is>
          <t>C: Edda wants Sigrun's dispatch routes documented for the archive -- the actual geography of who learned what, when, since news arriving late or early has decided outcomes before. Sigrun's never thought of her routes as history, just as the job. B: Edda points out the discrepancy: Sigrun's own account of a given ride never quite matches what the recipients later claim they heard, and that gap is worth recording too. Sigrun, defensive at first, admits the gap's real -- she compresses, cuts corners in the telling, because the ride mattered more to her than the report of it. A: Edda tells her plainly that the compressed version is the one that survives, and if it's wrong, the record's wrong along with it -- she'd rather have the slower, accurate account than the fast one. Sigrun, whose whole professional identity runs on speed, sits with someone asking her to be careful instead, for once, and gives Edda the longer version, the real one, corners uncut. Edda gets a more honest archive. Sigrun gets the odd experience of being asked to go slow and finding out she's good at that too.</t>
        </is>
      </c>
      <c r="I71" s="17" t="inlineStr">
        <is>
          <t>Both signs reused verbatim (Sigrun=Archer from Ricberta/Sigrun, Edda=Maiden from Waldrada/Edda). Maiden's virtue ('notices the discrepancy nobody else did') catches a compression Sigrun didn't know she was making -- speed as a habit that costs the record accuracy. Platonic chain, capped at A.</t>
        </is>
      </c>
    </row>
    <row r="72">
      <c r="A72" s="17" t="inlineStr">
        <is>
          <t>sup_sigrun_anselm</t>
        </is>
      </c>
      <c r="B72" s="17" t="inlineStr">
        <is>
          <t>u_sigrun</t>
        </is>
      </c>
      <c r="C72" s="17" t="inlineStr">
        <is>
          <t>u_anselm</t>
        </is>
      </c>
      <c r="D72" s="17" t="inlineStr">
        <is>
          <t>sgn_archer</t>
        </is>
      </c>
      <c r="E72" s="17" t="inlineStr">
        <is>
          <t>sgn_fishes</t>
        </is>
      </c>
      <c r="F72" s="17" t="inlineStr">
        <is>
          <t>no</t>
        </is>
      </c>
      <c r="G72" s="17" t="inlineStr">
        <is>
          <t>drafted</t>
        </is>
      </c>
      <c r="H72" s="17" t="inlineStr">
        <is>
          <t>C: Sigrun brings Anselm the news from every corner of the convergence, all of it, unfiltered -- exactly what he doesn't need while doctrine's already dissolved into understanding every side of everything at once. He asks her, politely, to stop. B: Sigrun, whose whole worth is in bringing back everything she finds, doesn't know how to do the job smaller; Anselm admits it's not the news itself, it's that he can't stop weighing every angle of it once he has it, and more news is just more weight. Sigrun, whose failure mode is saying the true thing at the worst moment, tells him the true thing now: he doesn't have to weigh it, he's allowed to just receive news without resolving what it means. A: Anselm admits that's the one thing his whole theology never taught him -- receiving without resolving. Sigrun offers a deal: she'll keep bringing him everything, and he doesn't owe her or himself an opinion on any of it, just acknowledgment that it arrived. Anselm takes the deal, and finds the news lighter once it isn't also an assignment. Sigrun gets to keep doing her job the way she actually does it, for the one person on the roster who needed permission to just let it land.</t>
        </is>
      </c>
      <c r="I72" s="17" t="inlineStr">
        <is>
          <t>Both signs reused verbatim (Sigrun=Archer from Ricberta/Sigrun, Anselm=Fishes from Tancred/Anselm). Archer's failure mode ('says the true thing at the worst moment') turned into the exact permission Fishes' failure mode ('understands the enemy too well to fight them') needed -- news without the obligation to resolve it. Platonic chain, capped at A.</t>
        </is>
      </c>
    </row>
    <row r="73">
      <c r="A73" s="17" t="inlineStr">
        <is>
          <t>sup_sigrun_kheldar</t>
        </is>
      </c>
      <c r="B73" s="17" t="inlineStr">
        <is>
          <t>u_sigrun</t>
        </is>
      </c>
      <c r="C73" s="17" t="inlineStr">
        <is>
          <t>u_kheldar</t>
        </is>
      </c>
      <c r="D73" s="17" t="inlineStr">
        <is>
          <t>sgn_archer</t>
        </is>
      </c>
      <c r="E73" s="17" t="inlineStr">
        <is>
          <t>sgn_scorpion</t>
        </is>
      </c>
      <c r="F73" s="17" t="inlineStr">
        <is>
          <t>no</t>
        </is>
      </c>
      <c r="G73" s="17" t="inlineStr">
        <is>
          <t>drafted</t>
        </is>
      </c>
      <c r="H73" s="17" t="inlineStr">
        <is>
          <t>C: Sigrun catches Kheldar reading her sealed dispatches and reseating the wax. He isn't embarrassed. B: He offers a trade -- what he learns for faster routes through country he knows. Sigrun refuses. She says the true thing at the wrong moment: he has never carried anything so that it would arrive, only so that he could hold it. Kheldar doesn't deny it. A: She hands him a single dispatch, sealed, and says nothing else. He delivers it unread. It is the first thing he has carried for the sake of its arriving, and he mentions it to nobody, though he checks twice that she knows.</t>
        </is>
      </c>
      <c r="I73" s="17" t="inlineStr">
        <is>
          <t>Both signs reused verbatim (Sigrun=Archer from Ricberta/Sigrun, Kheldar=Scorpion from Kheldar/Kest). Sigrun is diadem; Kheldar is route 'both'. Archer's failure mode is the accusation and her virtue is the test. Platonic chain, capped at A.</t>
        </is>
      </c>
    </row>
    <row r="74">
      <c r="A74" s="17" t="inlineStr">
        <is>
          <t>sup_sigrun_dietmar</t>
        </is>
      </c>
      <c r="B74" s="17" t="inlineStr">
        <is>
          <t>u_sigrun</t>
        </is>
      </c>
      <c r="C74" s="17" t="inlineStr">
        <is>
          <t>u_dietmar</t>
        </is>
      </c>
      <c r="D74" s="17" t="inlineStr">
        <is>
          <t>sgn_archer</t>
        </is>
      </c>
      <c r="E74" s="17" t="inlineStr">
        <is>
          <t>sgn_lion</t>
        </is>
      </c>
      <c r="F74" s="17" t="inlineStr">
        <is>
          <t>no</t>
        </is>
      </c>
      <c r="G74" s="17" t="inlineStr">
        <is>
          <t>drafted</t>
        </is>
      </c>
      <c r="H74" s="17" t="inlineStr">
        <is>
          <t>C: Dietmar demands formal salutes when Sigrun delivers dispatches to his post. She skips them; the ride matters more than the ceremony, and she says so. B: Sigrun says the true thing at the worst moment: nobody is watching the salutes anymore. Dietmar goes very quiet. She regrets the timing, though not the content, and rides off without softening it. A: She comes back a week later, dismounts, salutes properly, and reports something she'd gathered on the road: his gate-holding deed is told at three outposts, with details he doesn't remember giving. Dietmar learns the story has travelled without him. It isn't the audience he wanted, but it exists, and a courier brought the proof.</t>
        </is>
      </c>
      <c r="I74" s="17" t="inlineStr">
        <is>
          <t>Both signs reused verbatim (Sigrun=Archer from Ricberta/Sigrun, Dietmar=Lion from Dietmar/Torvald). Both diadem-route. Archer's failure mode is the wound and her virtue ('comes back with the thing you needed') is the repair; ties to Dietmar's one Act 3 gate-holding deed map. Platonic chain, capped at A.</t>
        </is>
      </c>
    </row>
    <row r="75">
      <c r="A75" s="17" t="inlineStr">
        <is>
          <t>sup_sigrun_torvald</t>
        </is>
      </c>
      <c r="B75" s="17" t="inlineStr">
        <is>
          <t>u_sigrun</t>
        </is>
      </c>
      <c r="C75" s="17" t="inlineStr">
        <is>
          <t>u_torvald</t>
        </is>
      </c>
      <c r="D75" s="17" t="inlineStr">
        <is>
          <t>sgn_archer</t>
        </is>
      </c>
      <c r="E75" s="17" t="inlineStr">
        <is>
          <t>sgn_crab</t>
        </is>
      </c>
      <c r="F75" s="17" t="inlineStr">
        <is>
          <t>no</t>
        </is>
      </c>
      <c r="G75" s="17" t="inlineStr">
        <is>
          <t>drafted</t>
        </is>
      </c>
      <c r="H75" s="17" t="inlineStr">
        <is>
          <t>C: Sigrun's dispatches keep routing past Torvald's assembly post without stopping, since officially there's nothing left there worth delivering to. Torvald doesn't complain about being skipped; he just keeps standing the post anyway, dispatch or no dispatch. B: Sigrun, curious despite herself, starts actually stopping, and asks why he holds a post nobody's sending him orders for. Torvald's answer is the same one he gives everyone: someone has to, and there's no one left to relieve him of deciding that. A: Sigrun admits she's spent her whole career being the one who ranges out and comes back with news that matters, and doesn't know what she'd do at a post where the news stopped coming. Torvald tells her plainly it's not nothing -- the standing is the news, some days; a post held is its own kind of dispatch, delivered to no one, and still worth riding past to confirm. Sigrun starts routing an actual stop past his post from then on, not because headquarters asks her to, but because somebody should still be the one who checks.</t>
        </is>
      </c>
      <c r="I75" s="17" t="inlineStr">
        <is>
          <t>Both signs reused verbatim (Sigrun=Archer from Ricberta/Sigrun, Torvald=Crab from Dietmar/Torvald). Archer's own function (ranges out, returns with news) set against a post that generates none -- Torvald's Crab loyalty read as its own form of unreceived dispatch. Platonic chain, capped at A.</t>
        </is>
      </c>
    </row>
    <row r="76">
      <c r="A76" s="17" t="inlineStr">
        <is>
          <t>sup_sigrun_rinsa</t>
        </is>
      </c>
      <c r="B76" s="17" t="inlineStr">
        <is>
          <t>u_sigrun</t>
        </is>
      </c>
      <c r="C76" s="17" t="inlineStr">
        <is>
          <t>u_rinsa</t>
        </is>
      </c>
      <c r="D76" s="17" t="inlineStr">
        <is>
          <t>sgn_archer</t>
        </is>
      </c>
      <c r="E76" s="17" t="inlineStr">
        <is>
          <t>sgn_vessel</t>
        </is>
      </c>
      <c r="F76" s="17" t="inlineStr">
        <is>
          <t>no</t>
        </is>
      </c>
      <c r="G76" s="17" t="inlineStr">
        <is>
          <t>drafted</t>
        </is>
      </c>
      <c r="H76" s="17" t="inlineStr">
        <is>
          <t>C: Sigrun, professionally curious about anyone who travels somewhere and comes back with something, asks Rinsa what the descent is actually like to ride, courier to courier. Rinsa points out she doesn't ride anything, she walks it, every time, on foot, in the dark -- there's no fast way down. B: Sigrun admits the comparison was lazy, and asks a better question: does the answer ever change, run to run. Rinsa says no, that's not what changes -- what changes is who's asking, and she's the one thing that stays constant across every question anyone's ever carried down there. A: Sigrun, whose whole worth is in what she brings back and how fast, admits she's never once thought about what it costs to be the medium and not the message -- to matter only as the route, never the news. Rinsa tells her that's exactly right, and exactly fine; being the road is its own kind of necessary, and Sigrun of all people, whose job is also being a road for other people's urgent things, should already know that isn't nothing. Sigrun stops apologizing for asking a lazy question. She starts actually listening to the answer.</t>
        </is>
      </c>
      <c r="I76" s="17" t="inlineStr">
        <is>
          <t>Sigrun=Archer reused from Ricberta/Sigrun. Rinsa's own already-stated sign, the Vessel, reused verbatim. Archer's own function (ranges out, returns with news) set against Vessel's failure mode ('belongs to everyone and therefore to nobody') -- two professions built around carrying something for someone else, argued from opposite ends of what that costs. Platonic chain, capped at A.</t>
        </is>
      </c>
    </row>
    <row r="77">
      <c r="A77" s="17" t="inlineStr">
        <is>
          <t>sup_sigrun_kest</t>
        </is>
      </c>
      <c r="B77" s="17" t="inlineStr">
        <is>
          <t>u_sigrun</t>
        </is>
      </c>
      <c r="C77" s="17" t="inlineStr">
        <is>
          <t>u_kest</t>
        </is>
      </c>
      <c r="D77" s="17" t="inlineStr">
        <is>
          <t>sgn_archer</t>
        </is>
      </c>
      <c r="E77" s="17" t="inlineStr">
        <is>
          <t>sgn_twins</t>
        </is>
      </c>
      <c r="F77" s="17" t="inlineStr">
        <is>
          <t>no</t>
        </is>
      </c>
      <c r="G77" s="17" t="inlineStr">
        <is>
          <t>drafted</t>
        </is>
      </c>
      <c r="H77" s="17" t="inlineStr">
        <is>
          <t>C: Sigrun's dispatches have to cross Nikaia's abandoned quarters, and Kest is the only one who really knows them. Sigrun hires her as a guide, and Kest, arguing with herself over the price, undercharges. B: They walk the route together on foot. Kest shows her the dead houses one by one: who lived here, what was taken, what wasn't. Sigrun says the true thing at the worst moment -- it's like riding through a city's ghost. Kest says it's home. A: Sigrun apologizes, badly, and asks what Kest would call it. Kest doesn't have a word. Sigrun starts leaving dispatches at a window Kest keeps, and Kest becomes her relay in Nikaia. It is the first regular work either of them has taken that neither argued their way out of.</t>
        </is>
      </c>
      <c r="I77" s="17" t="inlineStr">
        <is>
          <t>Both signs reused verbatim (Sigrun=Archer from Ricberta/Sigrun, Kest's own already-stated sign, the Twins). Both diadem-route. Ties to Kest's own note (Nikaia, 'six hundred people inside walls built for twenty thousand'). Does not touch her withheld reveal. Platonic chain, capped at A.</t>
        </is>
      </c>
    </row>
    <row r="78">
      <c r="A78" s="17" t="inlineStr">
        <is>
          <t>sup_waldrada_tancred</t>
        </is>
      </c>
      <c r="B78" s="17" t="inlineStr">
        <is>
          <t>u_waldrada</t>
        </is>
      </c>
      <c r="C78" s="17" t="inlineStr">
        <is>
          <t>u_tancred</t>
        </is>
      </c>
      <c r="D78" s="17" t="inlineStr">
        <is>
          <t>sgn_scales</t>
        </is>
      </c>
      <c r="E78" s="17" t="inlineStr">
        <is>
          <t>sgn_goat</t>
        </is>
      </c>
      <c r="F78" s="17" t="inlineStr">
        <is>
          <t>no</t>
        </is>
      </c>
      <c r="G78" s="17" t="inlineStr">
        <is>
          <t>drafted</t>
        </is>
      </c>
      <c r="H78" s="17" t="inlineStr">
        <is>
          <t>C: Tancred, deep in the Pardoner line's early discipline, tells Waldrada plainly that defection is exactly the kind of thing his order exists to forgive. Waldrada, who has spent years weighing the defection rather than confessing it, finds being pre-forgiven for a decision she hasn't finished making almost insulting. B: Tancred admits he offered the absolution because it's the only tool he has, not because he understood what she actually needed; Waldrada, who has never once had anyone ask instead of judge, tells him the weighing itself is the thing, not the verdict at the end of it -- she needs someone to sit in the deliberation with her, not skip to forgiving its outcome. A: Waldrada explains what the years of deliberation actually cost her -- not doubt about the choice, but the particular loneliness of a decision nobody else was willing to take as seriously as she did. Tancred, who measures people by what they build rather than by verdicts handed down on them, stops offering absolution and starts just asking good questions about the actual weighing -- which turns out to be the only thing that ever helped. Neither calls it forgiveness. It's closer to being taken seriously, which for Waldrada was always the harder ask.</t>
        </is>
      </c>
      <c r="I78" s="17" t="inlineStr">
        <is>
          <t>Both signs reused verbatim (Waldrada=Scales from Waldrada/Edda, Tancred=Goat from Tancred/Anselm). Both diadem-route. Scales' failure mode ('delay disguised as deliberation') met directly by Goat's virtue (measures people by what they build, not by snap verdicts) -- a support about being taken seriously in the weighing, not absolved of its outcome. Platonic chain, capped at A.</t>
        </is>
      </c>
    </row>
    <row r="79">
      <c r="A79" s="17" t="inlineStr">
        <is>
          <t>sup_waldrada_maren</t>
        </is>
      </c>
      <c r="B79" s="17" t="inlineStr">
        <is>
          <t>u_waldrada</t>
        </is>
      </c>
      <c r="C79" s="17" t="inlineStr">
        <is>
          <t>u_maren</t>
        </is>
      </c>
      <c r="D79" s="17" t="inlineStr">
        <is>
          <t>sgn_scales</t>
        </is>
      </c>
      <c r="E79" s="17" t="inlineStr">
        <is>
          <t>sgn_crab</t>
        </is>
      </c>
      <c r="F79" s="17" t="inlineStr">
        <is>
          <t>no</t>
        </is>
      </c>
      <c r="G79" s="17" t="inlineStr">
        <is>
          <t>drafted</t>
        </is>
      </c>
      <c r="H79" s="17" t="inlineStr">
        <is>
          <t>C: Maren, running the dole line during a cold snap, needs Waldrada's flight roster locked in fast; Waldrada, still weighing whether the diadem's logistics are even trustworthy enough to commit her route to, is late with the answer and costs the line an hour. B: Maren doesn't soften the complaint -- an hour is real, on a dole line, in winter -- and Waldrada, expecting judgment, gets something else instead: Maren asks what she's actually weighing, because indecision this costly usually isn't really about the schedule. Waldrada admits it's the same question it always is: which side actually deserves the commitment. A: Maren tells her plainly that the dole line doesn't have the luxury of that question -- she decided a long time ago who she's loyal to and it was never the crown or the assembly, it was the people in front of her, and Waldrada could try deciding the same way instead of weighing institutions against each other forever. Waldrada doesn't resolve the larger question. She does start locking her schedule to Maren's line specifically, loyalty to one person doing the work that loyalty to a whole side never managed.</t>
        </is>
      </c>
      <c r="I79" s="17" t="inlineStr">
        <is>
          <t>Both signs reused verbatim (Waldrada=Scales from Waldrada/Edda, Maren=Crab from Avatar/Maren). Scales' failure mode ('delay disguised as deliberation') given a real cost by Crab's virtue (loyalty to people, not causes) -- Maren's practical answer to a question Waldrada's been treating as abstract. Platonic chain, capped at A.</t>
        </is>
      </c>
    </row>
    <row r="80">
      <c r="A80" s="17" t="inlineStr">
        <is>
          <t>sup_waldrada_brandt</t>
        </is>
      </c>
      <c r="B80" s="17" t="inlineStr">
        <is>
          <t>u_waldrada</t>
        </is>
      </c>
      <c r="C80" s="17" t="inlineStr">
        <is>
          <t>u_brandt</t>
        </is>
      </c>
      <c r="D80" s="17" t="inlineStr">
        <is>
          <t>sgn_scales</t>
        </is>
      </c>
      <c r="E80" s="17" t="inlineStr">
        <is>
          <t>sgn_bull</t>
        </is>
      </c>
      <c r="F80" s="17" t="inlineStr">
        <is>
          <t>no</t>
        </is>
      </c>
      <c r="G80" s="17" t="inlineStr">
        <is>
          <t>drafted</t>
        </is>
      </c>
      <c r="H80" s="17" t="inlineStr">
        <is>
          <t>C: Waldrada, who defected from the assembly, arrives at an assembly gate. Brandt, the gate sergeant, recognizes her as a former flier. She has no papers. B: He doesn't turn her away. He asks what she's carrying and where she's going, and logs it truthfully: Waldrada, returning, no papers. She waits for the rest of it, the accusation. It doesn't come. A: Brandt says the gate doesn't judge which side you're on, only who's standing in front of it. She asks whether he'd have let her through if it cost him something. He says he has asked himself the same thing and the answer is yes. Waldrada, who has spent years weighing whether she betrayed anyone, hears that returning isn't betrayal for the first time from someone with no reason to flatter her.</t>
        </is>
      </c>
      <c r="I80" s="17" t="inlineStr">
        <is>
          <t>Both signs reused verbatim (Waldrada=Scales from Waldrada/Edda, Brandt=Bull from Brandt/Solveig). Cross-route (diadem/assembly), post-convergence. Bull's 'holds ground nobody else could' answers Scales' years of deliberation with a plain rule. Platonic chain, capped at A.</t>
        </is>
      </c>
    </row>
    <row r="81">
      <c r="A81" s="17" t="inlineStr">
        <is>
          <t>sup_waldrada_solveig</t>
        </is>
      </c>
      <c r="B81" s="17" t="inlineStr">
        <is>
          <t>u_waldrada</t>
        </is>
      </c>
      <c r="C81" s="17" t="inlineStr">
        <is>
          <t>u_solveig</t>
        </is>
      </c>
      <c r="D81" s="17" t="inlineStr">
        <is>
          <t>sgn_scales</t>
        </is>
      </c>
      <c r="E81" s="17" t="inlineStr">
        <is>
          <t>sgn_vessel</t>
        </is>
      </c>
      <c r="F81" s="17" t="inlineStr">
        <is>
          <t>no</t>
        </is>
      </c>
      <c r="G81" s="17" t="inlineStr">
        <is>
          <t>drafted</t>
        </is>
      </c>
      <c r="H81" s="17" t="inlineStr">
        <is>
          <t>C: Waldrada and Solveig, both fliers, keep landing at the same dispatch post and squabble over who has priority on the roost. It's a rivalry built on nothing except being the only two people who understand each other's job. B: Solveig asks how it felt to leave -- Waldrada is the only person she knows who has. Waldrada admits leaving was permitted; Solveig's family would not permit it, and that's a different kind of leaving. A: Waldrada says it felt like nothing for a year, then like grief, and was still worth it -- and that she isn't offering that as advice. Solveig asks whether an inherited thing allows defection at all. Waldrada says prophecy families get defected from too, quietly, and nobody talks about it. Solveig doesn't leave. She does start thinking of leaving as an actual verb rather than a thing that happens to other people.</t>
        </is>
      </c>
      <c r="I81" s="17" t="inlineStr">
        <is>
          <t>Both signs reused verbatim (Waldrada=Scales from Waldrada/Edda, Solveig=Vessel from Brandt/Solveig). Cross-route (diadem/assembly), post-convergence; both fliers (gp_flier). Scales' years of deliberation set against Vessel's inherited impossibility of deliberating at all. Platonic chain, capped at A.</t>
        </is>
      </c>
    </row>
    <row r="82">
      <c r="A82" s="17" t="inlineStr">
        <is>
          <t>sup_waldrada_gunnar</t>
        </is>
      </c>
      <c r="B82" s="17" t="inlineStr">
        <is>
          <t>u_waldrada</t>
        </is>
      </c>
      <c r="C82" s="17" t="inlineStr">
        <is>
          <t>u_gunnar</t>
        </is>
      </c>
      <c r="D82" s="17" t="inlineStr">
        <is>
          <t>sgn_scales</t>
        </is>
      </c>
      <c r="E82" s="17" t="inlineStr">
        <is>
          <t>sgn_goat</t>
        </is>
      </c>
      <c r="F82" s="17" t="inlineStr">
        <is>
          <t>no</t>
        </is>
      </c>
      <c r="G82" s="17" t="inlineStr">
        <is>
          <t>drafted</t>
        </is>
      </c>
      <c r="H82" s="17" t="inlineStr">
        <is>
          <t>C: Gunnar notices that Waldrada leaves no trail at all when she flies, and a very clear one when she's forced to walk. She avoids walking. He says so, mildly, the way he would remark on a track. B: He tells her he has tracked runners all his life and they always do the same thing: they look back. Waldrada looks back constantly. She says she isn't running. Gunnar says he didn't say she was; he said she looks back. A: He teaches her to leave a trail on purpose: one honest route home, marked so that she alone could follow it. Waldrada, who has spent years refusing to close any option, marks it and doesn't say whether she'll use it. Gunnar doesn't ask. He says a trail you can walk back along is the only kind that lets you stop looking over your shoulder.</t>
        </is>
      </c>
      <c r="I82" s="17" t="inlineStr">
        <is>
          <t>Both signs reused verbatim (Waldrada=Scales from Waldrada/Edda, Gunnar=Goat from Gunnar/Edda). Cross-route (diadem/assembly), post-convergence. Scales' kept-open option made into an actual marked route by Goat's exacting craft. Platonic chain, capped at A. Final-batch chain: with this one the 153-chain grid is fully drafted.</t>
        </is>
      </c>
    </row>
    <row r="83">
      <c r="A83" s="17" t="inlineStr">
        <is>
          <t>sup_waldrada_edda</t>
        </is>
      </c>
      <c r="B83" s="17" t="inlineStr">
        <is>
          <t>u_waldrada</t>
        </is>
      </c>
      <c r="C83" s="17" t="inlineStr">
        <is>
          <t>u_edda</t>
        </is>
      </c>
      <c r="D83" s="17" t="inlineStr">
        <is>
          <t>sgn_scales</t>
        </is>
      </c>
      <c r="E83" s="17" t="inlineStr">
        <is>
          <t>sgn_maiden</t>
        </is>
      </c>
      <c r="F83" s="17" t="inlineStr">
        <is>
          <t>yes</t>
        </is>
      </c>
      <c r="G83" s="17" t="inlineStr">
        <is>
          <t>drafted</t>
        </is>
      </c>
      <c r="H83" s="17" t="inlineStr">
        <is>
          <t>C: They meet only after the routes converge -- Edda, assembly's own reciter, wants Waldrada's defection for the record, not gossip, history. Waldrada refuses to be anyone's cautionary verse. B: Reconciling the diadem and assembly muster-rolls (the two sides name things differently) forces them into real proximity. Waldrada catches Edda quietly correcting the diadem clerks' errors without taking credit for it, and reads it as a reciter's habit, not pettiness. A: Waldrada explains the resentment was never about doctrine -- the assembly demanded loyalty run one direction only. Edda, whose entire craft is getting the record right, refuses to let Waldrada's defection get smoothed into either faction's flattering version; she writes it exactly as it happened, unflinching about the parts that make the assembly look bad too. It's the first true account anyone's given her back. S (romance): Waldrada stops flinching when someone asks which side she's really on. Edda's answer is on record, precise, and doesn't require her to pick -- the record just states the truth, in both books.</t>
        </is>
      </c>
      <c r="I83" s="17" t="inlineStr">
        <is>
          <t>Waldrada=Scales is new, off her own note ('resentful Assembly flier; loyalty subplot') read as backstory affiliation, not current playable route -- her units.route field is diadem, so she is a defector FROM the assembly, which resolves the apparent contradiction rather than being a data error. The Scales' own failure mode ('delay disguised as deliberation') is the shape of a years-long refusal to say outright which side she actually serves. Edda=Maiden is new, off her own note ('village reciter' -- keeps the record, notices the discrepancy nobody else did -- the Maiden's virtue/failure pair exactly). This chain only makes sense post-convergence: chapter numbering jumps from d10/a10 to shared b/c/k/m-prefixed chapters starting around ch_b15, and Waldrada joins diadem (ch_d02) while Edda joins assembly (ch_a02) -- flagged so a future writer doesn't place this scene inside either Act 1 branch.</t>
        </is>
      </c>
    </row>
    <row r="84">
      <c r="A84" s="17" t="inlineStr">
        <is>
          <t>sup_waldrada_anselm</t>
        </is>
      </c>
      <c r="B84" s="17" t="inlineStr">
        <is>
          <t>u_waldrada</t>
        </is>
      </c>
      <c r="C84" s="17" t="inlineStr">
        <is>
          <t>u_anselm</t>
        </is>
      </c>
      <c r="D84" s="17" t="inlineStr">
        <is>
          <t>sgn_scales</t>
        </is>
      </c>
      <c r="E84" s="17" t="inlineStr">
        <is>
          <t>sgn_fishes</t>
        </is>
      </c>
      <c r="F84" s="17" t="inlineStr">
        <is>
          <t>no</t>
        </is>
      </c>
      <c r="G84" s="17" t="inlineStr">
        <is>
          <t>drafted</t>
        </is>
      </c>
      <c r="H84" s="17" t="inlineStr">
        <is>
          <t>C: Anselm, doubting everything these days, asks Waldrada how she's managed to keep re-litigating one decision for years without it dissolving into total uncertainty about everything else too. Waldrada tells him it hasn't dissolved -- if anything it's the only thing she's certain is still unresolved, which is its own kind of stability. B: Anselm admits that's the opposite of his own experience -- his doubt about one question spread until nothing felt solid anymore. Waldrada asks what the original question even was, and Anselm realizes, saying it out loud for the first time in a while, that he's lost track; the doubt outlived the question that started it. A: Waldrada tells him plainly that's the actual danger in what they're both doing, not the doubting itself -- hers has stayed contained because she's never let it spread past the one decision, and his has swallowed everything because he let it. Anselm, hearing the difference named clearly for the first time, starts trying to locate which specific questions are actually open and which ones he's just been carrying out of habit. Waldrada doesn't resolve her own question by the end. She does help him get his back down to a size that might actually be answerable.</t>
        </is>
      </c>
      <c r="I84" s="17" t="inlineStr">
        <is>
          <t>Both signs reused verbatim (Waldrada=Scales from Waldrada/Edda, Anselm=Fishes from Tancred/Anselm). Scales' failure mode ('delay disguised as deliberation') held contained to one question, contrasted with Fishes' failure mode ('understands the enemy too well to fight them') having spread to swallow everything -- the same doubt, differently bounded. Platonic chain, capped at A.</t>
        </is>
      </c>
    </row>
    <row r="85">
      <c r="A85" s="17" t="inlineStr">
        <is>
          <t>sup_waldrada_kheldar</t>
        </is>
      </c>
      <c r="B85" s="17" t="inlineStr">
        <is>
          <t>u_waldrada</t>
        </is>
      </c>
      <c r="C85" s="17" t="inlineStr">
        <is>
          <t>u_kheldar</t>
        </is>
      </c>
      <c r="D85" s="17" t="inlineStr">
        <is>
          <t>sgn_scales</t>
        </is>
      </c>
      <c r="E85" s="17" t="inlineStr">
        <is>
          <t>sgn_scorpion</t>
        </is>
      </c>
      <c r="F85" s="17" t="inlineStr">
        <is>
          <t>no</t>
        </is>
      </c>
      <c r="G85" s="17" t="inlineStr">
        <is>
          <t>drafted</t>
        </is>
      </c>
      <c r="H85" s="17" t="inlineStr">
        <is>
          <t>C: Kheldar, professionally curious about defectors, asks Waldrada whether she ever regrets that the diadem hasn't turned out to be worth what she gave up for it. Waldrada, still weighing that exact question years later, doesn't have a clean answer, which he finds more interesting than either yes or no would have been. B: Kheldar admits he's never once looked back at a choice the way she does -- he just adjusts, continuously, and the idea of being stuck re-litigating one decision for years sounds close to a nightmare. Waldrada tells him that's easy for a man who's never actually committed to a side; she gave something up permanently, and he's never given up anything he couldn't smuggle back out again. A: Kheldar concedes the point -- his whole trade is built on never being pinned to one position, and he's never had to find out what it costs to actually choose and live inside the choice. Waldrada admits what it costs is exactly what he'd expect: years of wondering, with no way to test the alternative. Neither one envies the other's method by the end. They do agree, for once, that the other one's found a genuinely different way to survive the same uncertain world, and neither is obviously the wrong way.</t>
        </is>
      </c>
      <c r="I85" s="17" t="inlineStr">
        <is>
          <t>Both signs reused verbatim (Waldrada=Scales from Waldrada/Edda, Kheldar=Scorpion from Kheldar/Kest). Scales' failure mode ('delay disguised as deliberation') set against a man built entirely around never being pinned to one position -- committed permanence vs perpetual adjustability, neither one resolved as superior. Platonic chain, capped at A.</t>
        </is>
      </c>
    </row>
    <row r="86">
      <c r="A86" s="17" t="inlineStr">
        <is>
          <t>sup_waldrada_dietmar</t>
        </is>
      </c>
      <c r="B86" s="17" t="inlineStr">
        <is>
          <t>u_waldrada</t>
        </is>
      </c>
      <c r="C86" s="17" t="inlineStr">
        <is>
          <t>u_dietmar</t>
        </is>
      </c>
      <c r="D86" s="17" t="inlineStr">
        <is>
          <t>sgn_scales</t>
        </is>
      </c>
      <c r="E86" s="17" t="inlineStr">
        <is>
          <t>sgn_lion</t>
        </is>
      </c>
      <c r="F86" s="17" t="inlineStr">
        <is>
          <t>no</t>
        </is>
      </c>
      <c r="G86" s="17" t="inlineStr">
        <is>
          <t>drafted</t>
        </is>
      </c>
      <c r="H86" s="17" t="inlineStr">
        <is>
          <t>C: Dietmar, revolution-generation to his core, has opinions about defectors; Waldrada, freshly defected from the assembly, has heard every one of them already and isn't interested in his verdict. B: Dietmar admits the opinions are really about himself -- he's spent so long being the diadem's proof that the old loyalties held that a defector reads to him like an accusation. Waldrada, who's spent the same stretch of time unable to say outright which side she serves, recognizes someone else performing a loyalty he isn't sure he still feels. A: Waldrada tells him plainly that deliberation isn't the same as disloyalty -- she took years weighing it and the assembly earned every year of doubt. Dietmar, who has never once let himself weigh it, admits her question is the one he's been outrunning since the gate-holding deed started feeling more like a museum piece than a duty. Neither talks the other out of anything; they just stop being each other's evidence for a verdict neither one wanted to reach alone.</t>
        </is>
      </c>
      <c r="I86" s="17" t="inlineStr">
        <is>
          <t>Both signs reused verbatim from their own established chains (Waldrada=Scales from Waldrada/Edda, Dietmar=Lion from Dietmar/Torvald above). Both diadem-route (ch_d01/ch_d02) -- a defector and the veteran who's built his whole identity on never having been one. Platonic chain, capped at A.</t>
        </is>
      </c>
    </row>
    <row r="87">
      <c r="A87" s="17" t="inlineStr">
        <is>
          <t>sup_waldrada_torvald</t>
        </is>
      </c>
      <c r="B87" s="17" t="inlineStr">
        <is>
          <t>u_waldrada</t>
        </is>
      </c>
      <c r="C87" s="17" t="inlineStr">
        <is>
          <t>u_torvald</t>
        </is>
      </c>
      <c r="D87" s="17" t="inlineStr">
        <is>
          <t>sgn_scales</t>
        </is>
      </c>
      <c r="E87" s="17" t="inlineStr">
        <is>
          <t>sgn_crab</t>
        </is>
      </c>
      <c r="F87" s="17" t="inlineStr">
        <is>
          <t>no</t>
        </is>
      </c>
      <c r="G87" s="17" t="inlineStr">
        <is>
          <t>drafted</t>
        </is>
      </c>
      <c r="H87" s="17" t="inlineStr">
        <is>
          <t>C: Torvald recognizes Waldrada's old assembly flier badge, which she keeps despite everything. He doesn't call her a defector. He asks which side the dead order belongs to. B: She doesn't know. Torvald says his order never had a side, only a post, and its loyalty was to the post. Waldrada says she's spent years wanting a post that doesn't require a side. A: He tells her there is one: wherever she's standing when someone needs holding. She takes a watch with him that night. It doesn't settle anything about which side she's on. It does give her somewhere to stand while she keeps deciding.</t>
        </is>
      </c>
      <c r="I87" s="17" t="inlineStr">
        <is>
          <t>Both signs reused verbatim (Waldrada=Scales from Waldrada/Edda, Torvald=Crab from Dietmar/Torvald). Cross-route (diadem/assembly), post-convergence. Crab's loyalty to a post rather than a side answers Scales' years of deliberation about sides. Platonic chain, capped at A.</t>
        </is>
      </c>
    </row>
    <row r="88">
      <c r="A88" s="17" t="inlineStr">
        <is>
          <t>sup_waldrada_rinsa</t>
        </is>
      </c>
      <c r="B88" s="17" t="inlineStr">
        <is>
          <t>u_waldrada</t>
        </is>
      </c>
      <c r="C88" s="17" t="inlineStr">
        <is>
          <t>u_rinsa</t>
        </is>
      </c>
      <c r="D88" s="17" t="inlineStr">
        <is>
          <t>sgn_scales</t>
        </is>
      </c>
      <c r="E88" s="17" t="inlineStr">
        <is>
          <t>sgn_vessel</t>
        </is>
      </c>
      <c r="F88" s="17" t="inlineStr">
        <is>
          <t>no</t>
        </is>
      </c>
      <c r="G88" s="17" t="inlineStr">
        <is>
          <t>drafted</t>
        </is>
      </c>
      <c r="H88" s="17" t="inlineStr">
        <is>
          <t>C: Waldrada, still weighing whether her defection was right years after making it, asks Rinsa -- half joking -- if the oracle takes questions about decisions already made. Rinsa tells her the oracle only takes one question per visit, ever, and asking about a done decision would be a waste of the one she gets. B: Waldrada admits that's exactly her problem -- she can't tell anymore whether she's still deciding or just refusing to let a decided thing be decided. Rinsa, who spends her whole professional life watching people descend with exactly one real question and come back changed by finally asking it, tells her the weighing itself might be the tell: people with an actual open question don't usually take years circling it. A: Waldrada admits, plainly, for the first time, that the defection was decided a long time ago and the circling since has been about something else entirely -- not knowing what to do with a choice that can't be undone. Rinsa tells her that's not indecision, that's grief for a version of herself who might have chosen differently, and grief doesn't resolve by more deliberation, only by being let alone to run its course. Waldrada doesn't stop thinking about it. She stops treating the thinking as a decision still in progress.</t>
        </is>
      </c>
      <c r="I88" s="17" t="inlineStr">
        <is>
          <t>Waldrada=Scales reused from Waldrada/Edda. Rinsa's own already-stated sign, the Vessel, reused verbatim. Scales' failure mode ('delay disguised as deliberation') correctly diagnosed by Rinsa's professional expertise (someone who watches people actually resolve questions for a living) as something other than deliberation entirely. Platonic chain, capped at A.</t>
        </is>
      </c>
    </row>
    <row r="89">
      <c r="A89" s="17" t="inlineStr">
        <is>
          <t>sup_waldrada_kest</t>
        </is>
      </c>
      <c r="B89" s="17" t="inlineStr">
        <is>
          <t>u_waldrada</t>
        </is>
      </c>
      <c r="C89" s="17" t="inlineStr">
        <is>
          <t>u_kest</t>
        </is>
      </c>
      <c r="D89" s="17" t="inlineStr">
        <is>
          <t>sgn_scales</t>
        </is>
      </c>
      <c r="E89" s="17" t="inlineStr">
        <is>
          <t>sgn_twins</t>
        </is>
      </c>
      <c r="F89" s="17" t="inlineStr">
        <is>
          <t>no</t>
        </is>
      </c>
      <c r="G89" s="17" t="inlineStr">
        <is>
          <t>drafted</t>
        </is>
      </c>
      <c r="H89" s="17" t="inlineStr">
        <is>
          <t>C: Kest and Waldrada end up on the same night watch and each notices the other is quietly planning exit routes. Neither says so. B: They laugh about it, finally. Both keep every option open by habit, and neither has ever committed to anything without a way out. They compare exits, the way other people compare wounds. A: They agree, half joking, to name the one thing each would stay for. Waldrada says the levy. Kest can't answer. She says she'll owe it. Waldrada says a debt of an answer is its own kind of anchor. Kest doesn't argue the point, which, for Kest, is agreement.</t>
        </is>
      </c>
      <c r="I89" s="17" t="inlineStr">
        <is>
          <t>Both signs reused verbatim (Waldrada=Scales from Waldrada/Edda, Kest's own already-stated sign, the Twins). Both diadem-route. Scales and Twins are two flavours of delayed commitment; deliberately does not touch Kest's withheld reveal. Platonic chain, capped at A.</t>
        </is>
      </c>
    </row>
    <row r="90">
      <c r="A90" s="17" t="inlineStr">
        <is>
          <t>sup_tancred_maren</t>
        </is>
      </c>
      <c r="B90" s="17" t="inlineStr">
        <is>
          <t>u_tancred</t>
        </is>
      </c>
      <c r="C90" s="17" t="inlineStr">
        <is>
          <t>u_maren</t>
        </is>
      </c>
      <c r="D90" s="17" t="inlineStr">
        <is>
          <t>sgn_goat</t>
        </is>
      </c>
      <c r="E90" s="17" t="inlineStr">
        <is>
          <t>sgn_crab</t>
        </is>
      </c>
      <c r="F90" s="17" t="inlineStr">
        <is>
          <t>no</t>
        </is>
      </c>
      <c r="G90" s="17" t="inlineStr">
        <is>
          <t>drafted</t>
        </is>
      </c>
      <c r="H90" s="17" t="inlineStr">
        <is>
          <t>C: Tancred asks Maren for a blessing over the dole line, formally, Pardoner-style; Maren tells him blessings don't move grain and she doesn't have time for the ones that don't. B: Tancred, stung, points out he's offering the one thing his class actually has to give; Maren admits she wasn't dismissing the offer, she's just run out of patience for anything that doesn't visibly help, faith included -- and asks him, if he wants to help, to carry crates instead. A: Tancred carries crates, for weeks, without complaint, and Maren admits she underestimated what a Pardoner's discipline actually looks like in practice -- unglamorous, repeated, not asking for credit. Tancred tells her the crates were never separate from the blessing, just the part of it that shows; Maren, who measures loyalty in exactly that kind of showing up, gives him something rarer than absolution: she trusts him with the line unsupervised.</t>
        </is>
      </c>
      <c r="I90" s="17" t="inlineStr">
        <is>
          <t>Both signs reused verbatim (Tancred=Goat from Tancred/Anselm, Maren=Crab from Avatar/Maren). Goat's virtue ('will do the unglamorous work for years') proven rather than argued -- Maren's own Crab failure mode (loyalty that shows in action, not words) sets the terms of what actually earns her trust. Platonic chain, capped at A.</t>
        </is>
      </c>
    </row>
    <row r="91">
      <c r="A91" s="17" t="inlineStr">
        <is>
          <t>sup_tancred_brandt</t>
        </is>
      </c>
      <c r="B91" s="17" t="inlineStr">
        <is>
          <t>u_tancred</t>
        </is>
      </c>
      <c r="C91" s="17" t="inlineStr">
        <is>
          <t>u_brandt</t>
        </is>
      </c>
      <c r="D91" s="17" t="inlineStr">
        <is>
          <t>sgn_goat</t>
        </is>
      </c>
      <c r="E91" s="17" t="inlineStr">
        <is>
          <t>sgn_bull</t>
        </is>
      </c>
      <c r="F91" s="17" t="inlineStr">
        <is>
          <t>no</t>
        </is>
      </c>
      <c r="G91" s="17" t="inlineStr">
        <is>
          <t>drafted</t>
        </is>
      </c>
      <c r="H91" s="17" t="inlineStr">
        <is>
          <t>C: Tancred asks Brandt, admiringly, how he got so solid in his post so young; Brandt, who's never thought of himself as solid, just present, doesn't have a good answer beyond showing up. B: Tancred admits he's been treating 'solid' as a destination, something the Pardoner line's climb is supposed to arrive at eventually; Brandt tells him plainly he's never arrived anywhere, he's just held the same spot long enough that it started looking like arrival from outside. A: Tancred sits with the reframe -- maybe the climb was never going anywhere in particular, maybe it was just showing up, repeated, the same as Brandt's gate. Brandt, who's never had anyone examine his own steadiness this closely, admits it's made him look at it too -- and finds, a little surprised, that he likes it better as a practice than as a fact about himself. Neither changes what they do. Both change what they think they're doing it for.</t>
        </is>
      </c>
      <c r="I91" s="17" t="inlineStr">
        <is>
          <t>Both signs reused verbatim (Tancred=Goat from Tancred/Anselm, Brandt=Bull from Brandt/Solveig). Goat's virtue (unglamorous work, sustained) recognized directly in Bull's own virtue (holds ground) as the same practice from two different classes -- climbing reframed as showing up, repeated. Platonic chain, capped at A.</t>
        </is>
      </c>
    </row>
    <row r="92">
      <c r="A92" s="17" t="inlineStr">
        <is>
          <t>sup_tancred_solveig</t>
        </is>
      </c>
      <c r="B92" s="17" t="inlineStr">
        <is>
          <t>u_tancred</t>
        </is>
      </c>
      <c r="C92" s="17" t="inlineStr">
        <is>
          <t>u_solveig</t>
        </is>
      </c>
      <c r="D92" s="17" t="inlineStr">
        <is>
          <t>sgn_goat</t>
        </is>
      </c>
      <c r="E92" s="17" t="inlineStr">
        <is>
          <t>sgn_vessel</t>
        </is>
      </c>
      <c r="F92" s="17" t="inlineStr">
        <is>
          <t>no</t>
        </is>
      </c>
      <c r="G92" s="17" t="inlineStr">
        <is>
          <t>drafted</t>
        </is>
      </c>
      <c r="H92" s="17" t="inlineStr">
        <is>
          <t>C: Tancred, working through the Pardoner line's early absolutions, offers Solveig one for whatever she thinks she's guilty of regarding the family prophecy. Solveig tells him there's nothing to absolve -- she didn't do anything, it was just handed to her, which is somehow worse. B: Tancred admits he doesn't actually have a rite for that -- his whole class handles sin, choices made and needing forgiving, not inheritance nobody chose. Solveig, hearing her situation correctly named as outside his order's whole framework for the first time, feels less alone in it rather than more, just from being accurately placed instead of misfiled as guilt. A: Solveig admits what she actually needs isn't forgiveness, it's someone to witness that the prophecy was never a choice and still cost her one anyway. Tancred, who measures people by what they build rather than what's been built onto them, tells her plainly: nothing she's inherited counts against what she chooses to build from here, and he'll hold her to that measure instead of the family's. Solveig doesn't stop carrying the prophecy. She starts building something of her own alongside it, with someone keeping the second, honest score.</t>
        </is>
      </c>
      <c r="I92" s="17" t="inlineStr">
        <is>
          <t>Both signs reused verbatim (Tancred=Goat from Tancred/Anselm, Solveig=Vessel from Brandt/Solveig). Cross-route (diadem/assembly), post-convergence. Goat's virtue (measures people by what they build) offered as an alternative to Vessel's failure mode ('belongs to everyone and therefore to nobody') -- a support about being measured by choice rather than inheritance. Platonic chain, capped at A.</t>
        </is>
      </c>
    </row>
    <row r="93">
      <c r="A93" s="17" t="inlineStr">
        <is>
          <t>sup_tancred_gunnar</t>
        </is>
      </c>
      <c r="B93" s="17" t="inlineStr">
        <is>
          <t>u_tancred</t>
        </is>
      </c>
      <c r="C93" s="17" t="inlineStr">
        <is>
          <t>u_gunnar</t>
        </is>
      </c>
      <c r="D93" s="17" t="inlineStr">
        <is>
          <t>sgn_goat</t>
        </is>
      </c>
      <c r="E93" s="17" t="inlineStr">
        <is>
          <t>sgn_goat</t>
        </is>
      </c>
      <c r="F93" s="17" t="inlineStr">
        <is>
          <t>no</t>
        </is>
      </c>
      <c r="G93" s="17" t="inlineStr">
        <is>
          <t>drafted</t>
        </is>
      </c>
      <c r="H93" s="17" t="inlineStr">
        <is>
          <t>C: Tancred, still early in the Pardoner line's ranked structure, asks Gunnar how he's stayed so good at his work for so long without ever climbing toward anything -- no rank, no title, just the same post for decades. Gunnar doesn't understand the question; the work was always the point, not what it led to. B: Tancred admits the distinction unsettles him -- his whole discipline is measured in steps upward, and a man who's just as disciplined without any steps at all makes him wonder what the steps were actually for. Gunnar tells him plainly that climbing and improving aren't the same thing, and it's worth being honest with himself about which one he's actually doing. A: Tancred sits with it and admits some of the climbing was never about the work getting better, just about being seen to have moved. Gunnar, who has never needed to be seen moving to know he'd gotten better, offers the only correction he has: keep climbing if the climbing's real, just check the math against the work itself, not the rank, the way an old huntsman checks a shot against where it actually lands, not where it was aimed. Tancred keeps climbing. He starts keeping his own private ledger of the work itself, separate from the rank, to make sure the two don't quietly drift apart.</t>
        </is>
      </c>
      <c r="I93" s="17" t="inlineStr">
        <is>
          <t>Both units already carry the Goat sign from their own established chains (Tancred from Tancred/Anselm, Gunnar from Gunnar/Edda) -- a fourth sign-mirror pairing (after Crab, Vessel, and Lion), argued as two different expressions of the same virtue: institutional climb vs solitary craft, each checking the other's blind spot. Platonic chain, capped at A.</t>
        </is>
      </c>
    </row>
    <row r="94">
      <c r="A94" s="17" t="inlineStr">
        <is>
          <t>sup_tancred_edda</t>
        </is>
      </c>
      <c r="B94" s="17" t="inlineStr">
        <is>
          <t>u_tancred</t>
        </is>
      </c>
      <c r="C94" s="17" t="inlineStr">
        <is>
          <t>u_edda</t>
        </is>
      </c>
      <c r="D94" s="17" t="inlineStr">
        <is>
          <t>sgn_goat</t>
        </is>
      </c>
      <c r="E94" s="17" t="inlineStr">
        <is>
          <t>sgn_maiden</t>
        </is>
      </c>
      <c r="F94" s="17" t="inlineStr">
        <is>
          <t>no</t>
        </is>
      </c>
      <c r="G94" s="17" t="inlineStr">
        <is>
          <t>drafted</t>
        </is>
      </c>
      <c r="H94" s="17" t="inlineStr">
        <is>
          <t>C: Edda wants to record Tancred's progress through the Pardoner line for the archive, the way she records everyone's; Tancred, still early and unsure any of it's worth recording yet, asks her to wait until he's actually built something worth writing down. B: Edda tells him that's not how any record she's ever kept has worked -- she doesn't wait for the finished version, she records the climb itself, including the parts that don't look like progress yet. Tancred admits he's been treating the record as a reward for arriving somewhere, not an account of the getting there. A: Edda starts recording him anyway, unglamorous entry by unglamorous entry, years before there's a clean story to tell. Tancred, watching his own unfinished climb get taken seriously as material worth keeping rather than waiting to be earned, tells her it's changed how the climb itself feels -- less like a debt owed to some future version of himself, more like something that already counts. Edda tells him that was always the point of an honest record: it counts the whole way, not just at the top.</t>
        </is>
      </c>
      <c r="I94" s="17" t="inlineStr">
        <is>
          <t>Both signs reused verbatim (Tancred=Goat from Tancred/Anselm, Edda=Maiden from Waldrada/Edda). Maiden's virtue ('notices the discrepancy nobody else did') applied to Goat's own failure mode (measures people, including himself, by what's already built) -- the record-keeper insisting the unglamorous middle counts, not just the finished climb. Platonic chain, capped at A.</t>
        </is>
      </c>
    </row>
    <row r="95">
      <c r="A95" s="17" t="inlineStr">
        <is>
          <t>sup_tancred_anselm</t>
        </is>
      </c>
      <c r="B95" s="17" t="inlineStr">
        <is>
          <t>u_tancred</t>
        </is>
      </c>
      <c r="C95" s="17" t="inlineStr">
        <is>
          <t>u_anselm</t>
        </is>
      </c>
      <c r="D95" s="17" t="inlineStr">
        <is>
          <t>sgn_goat</t>
        </is>
      </c>
      <c r="E95" s="17" t="inlineStr">
        <is>
          <t>sgn_fishes</t>
        </is>
      </c>
      <c r="F95" s="17" t="inlineStr">
        <is>
          <t>yes</t>
        </is>
      </c>
      <c r="G95" s="17" t="inlineStr">
        <is>
          <t>drafted</t>
        </is>
      </c>
      <c r="H95" s="17" t="inlineStr">
        <is>
          <t>C: Anselm can't finish a blessing without a caveat attached, and Tancred, still new enough to the Pardoner line to want them uncomplicated, finds this maddening in a way he can't fully justify. B: Tancred admits the caveats are the only part of Anselm's theology he's started to trust -- a monk who insists on his own uncertainty is at least not lying to him, unlike the men Tancred grew up under. Anselm, for the first time, says something without immediately qualifying it. A: Anselm confesses the dissolved boundary cuts both ways -- he understands why the people he's meant to condemn do what they do, and can no longer do the condemning cleanly, which reads as failure by every measure the order taught him. Tancred, who measures people by what they've built, refuses to measure Anselm by what he's stopped being able to do. S (romance): neither one resolves the other's problem, and it turns out that was never the ask. Tancred's climb gets a companion who won't let him mistake the climbing for the point; Anselm's dissolved certainties get one fixed thing he doesn't have to argue himself out of.</t>
        </is>
      </c>
      <c r="I95" s="17" t="inlineStr">
        <is>
          <t>Both signs new, off each unit's own note. Tancred=Goat ('village recruit; Pardoner line' -- climbs, unglamorous work for years, measures people by what they've built -- a penitential class line built from humble origins is exactly that climb). Anselm=Fishes ('adrift monk; theology barometer' -- dissolves the boundary, understands the enemy too well to hate or fight them -- a monk whose faith has come unmoored into total ambivalence is the Fishes' failure mode as a starting condition, not an endpoint). Goat's own failure mode (measures people by output) is the exact friction the A-support resolves by Tancred explicitly refusing to apply it.</t>
        </is>
      </c>
    </row>
    <row r="96">
      <c r="A96" s="17" t="inlineStr">
        <is>
          <t>sup_tancred_kheldar</t>
        </is>
      </c>
      <c r="B96" s="17" t="inlineStr">
        <is>
          <t>u_tancred</t>
        </is>
      </c>
      <c r="C96" s="17" t="inlineStr">
        <is>
          <t>u_kheldar</t>
        </is>
      </c>
      <c r="D96" s="17" t="inlineStr">
        <is>
          <t>sgn_goat</t>
        </is>
      </c>
      <c r="E96" s="17" t="inlineStr">
        <is>
          <t>sgn_scorpion</t>
        </is>
      </c>
      <c r="F96" s="17" t="inlineStr">
        <is>
          <t>no</t>
        </is>
      </c>
      <c r="G96" s="17" t="inlineStr">
        <is>
          <t>drafted</t>
        </is>
      </c>
      <c r="H96" s="17" t="inlineStr">
        <is>
          <t>C: Tancred, still new enough to the Pardoner line to take it seriously, tries to extract a confession out of Kheldar for the manifest fraud everyone quietly knows about. Kheldar finds the attempt almost sweet and declines to be absolved of a sin he doesn't consider one. B: Tancred presses on principle, not results -- he says the confession was never really for Kheldar's sake, it's for his own, practicing the unglamorous work of holding someone to account even when it changes nothing. Kheldar, unused to being pursued without an angle, starts actually answering the questions instead of deflecting them, if only out of professional curiosity about a man who wants nothing from him. A: Kheldar admits, obliquely, that he keeps a private ledger of the debts he actually can't repay -- not the profitable discrepancies, the other kind -- and has never shown it to anyone. Tancred doesn't ask to see it; he tells Kheldar that's closer to penance than anything Tancred's own line teaches, since nobody assigned it to him and nobody's grading it. Kheldar doesn't confess to anything. He does, for the first time, let someone watch him not lie about not confessing.</t>
        </is>
      </c>
      <c r="I96" s="17" t="inlineStr">
        <is>
          <t>Both signs reused verbatim (Tancred=Goat from Tancred/Anselm, Kheldar=Scorpion from Kheldar/Kest). Direct moral-code friction: Tancred's own note ('village recruit; Pardoner line') is explicitly a forgiveness/penance class line, set against Kheldar's own note ('manifest discrepancy thread') -- a penitent and an unrepentant profiteer, deliberately not resolved into either converting the other. Platonic chain, capped at A.</t>
        </is>
      </c>
    </row>
    <row r="97">
      <c r="A97" s="17" t="inlineStr">
        <is>
          <t>sup_tancred_dietmar</t>
        </is>
      </c>
      <c r="B97" s="17" t="inlineStr">
        <is>
          <t>u_tancred</t>
        </is>
      </c>
      <c r="C97" s="17" t="inlineStr">
        <is>
          <t>u_dietmar</t>
        </is>
      </c>
      <c r="D97" s="17" t="inlineStr">
        <is>
          <t>sgn_goat</t>
        </is>
      </c>
      <c r="E97" s="17" t="inlineStr">
        <is>
          <t>sgn_lion</t>
        </is>
      </c>
      <c r="F97" s="17" t="inlineStr">
        <is>
          <t>no</t>
        </is>
      </c>
      <c r="G97" s="17" t="inlineStr">
        <is>
          <t>drafted</t>
        </is>
      </c>
      <c r="H97" s="17" t="inlineStr">
        <is>
          <t>C: Dietmar, watching Tancred grind through the Pardoner line's early, unglamorous requirements, tells him plainly that nobody remembers the grinding, only the finished thing -- advice meant kindly, from a man whose own finished thing is starting to be forgotten anyway. B: Tancred asks, carefully, whether that's actually true, since Dietmar himself seems to be finding out it isn't. Dietmar admits the finished thing fades faster than the grinding ever did in his own memory -- the revolution's a name now, the years of actual work before it are the part he still remembers clearly, alone, since nobody else was there for that part either. A: Dietmar tells him, revising his own advice: remember the grinding on purpose, keep it for yourself, because it may be the only part that's still yours once the finished thing becomes everyone else's story to tell. Tancred, who measures people by what they build, realizes Dietmar's obsolescence isn't really about the revolution fading, it's about losing ownership of his own history to the legend of it. He starts asking Dietmar for the ungrinded version, the real one, specifically so someone besides Dietmar has it too.</t>
        </is>
      </c>
      <c r="I97" s="17" t="inlineStr">
        <is>
          <t>Both signs reused verbatim (Tancred=Goat from Tancred/Anselm, Dietmar=Lion from Dietmar/Torvald). Goat's virtue (measured by what's built, the unglamorous middle) offered as the corrective to Lion's failure mode ('cannot take a demotion gracefully') -- ownership of one's own unglamorous history as a hedge against becoming someone else's legend. Platonic chain, capped at A.</t>
        </is>
      </c>
    </row>
    <row r="98">
      <c r="A98" s="17" t="inlineStr">
        <is>
          <t>sup_tancred_torvald</t>
        </is>
      </c>
      <c r="B98" s="17" t="inlineStr">
        <is>
          <t>u_tancred</t>
        </is>
      </c>
      <c r="C98" s="17" t="inlineStr">
        <is>
          <t>u_torvald</t>
        </is>
      </c>
      <c r="D98" s="17" t="inlineStr">
        <is>
          <t>sgn_goat</t>
        </is>
      </c>
      <c r="E98" s="17" t="inlineStr">
        <is>
          <t>sgn_crab</t>
        </is>
      </c>
      <c r="F98" s="17" t="inlineStr">
        <is>
          <t>no</t>
        </is>
      </c>
      <c r="G98" s="17" t="inlineStr">
        <is>
          <t>drafted</t>
        </is>
      </c>
      <c r="H98" s="17" t="inlineStr">
        <is>
          <t>C: Torvald watches Tancred doing penance work for other people's sins and says his own order had a saying: the dead don't need absolution, the living need company. Tancred asks what the order did about the difference. Torvald says they sat with people. B: Tancred admits he is the only Pardoner from his village and there is nobody to witness the steps he takes in the line; the rank is only real if someone of standing sees it taken. He has been putting that off. A: Torvald offers to stand as his witness. An order that no longer exists has very little standing left to give, but Tancred accepts, and Torvald stands through the whole rite at attention. It is the last thing his order ever witnessed, and he says it was worth being the one left to do it.</t>
        </is>
      </c>
      <c r="I98" s="17" t="inlineStr">
        <is>
          <t>Both signs reused verbatim (Tancred=Goat from Tancred/Anselm, Torvald=Crab from Dietmar/Torvald). Tancred is diadem; Torvald is assembly. Goat's climb through the Pardoner line finally gets a witness; Crab's dead order gets a last act. Platonic chain, capped at A.</t>
        </is>
      </c>
    </row>
    <row r="99">
      <c r="A99" s="17" t="inlineStr">
        <is>
          <t>sup_tancred_rinsa</t>
        </is>
      </c>
      <c r="B99" s="17" t="inlineStr">
        <is>
          <t>u_tancred</t>
        </is>
      </c>
      <c r="C99" s="17" t="inlineStr">
        <is>
          <t>u_rinsa</t>
        </is>
      </c>
      <c r="D99" s="17" t="inlineStr">
        <is>
          <t>sgn_goat</t>
        </is>
      </c>
      <c r="E99" s="17" t="inlineStr">
        <is>
          <t>sgn_vessel</t>
        </is>
      </c>
      <c r="F99" s="17" t="inlineStr">
        <is>
          <t>no</t>
        </is>
      </c>
      <c r="G99" s="17" t="inlineStr">
        <is>
          <t>drafted</t>
        </is>
      </c>
      <c r="H99" s="17" t="inlineStr">
        <is>
          <t>C: Tancred asks whether Rinsa needs penance for taking money to lead people down to the dead. She says no, and asks what his order charges for absolution. He says nothing. B: She points out that makes him the only cleric she has ever met who doesn't charge, and asks who pays for his lamp. He has no answer. Tancred admits the Pardoner line runs on other people's coin more than he likes. A: Rinsa says her fee is what keeps the stairs lit and the rope sound, and that there is nothing shameful in it. Tancred offers to carry oil and rope for the stairs as his own penance work. She accepts. It's the first time anyone has done the dull part of her job for her instead of asking her to pour herself out for theirs.</t>
        </is>
      </c>
      <c r="I99" s="17" t="inlineStr">
        <is>
          <t>Both signs reused verbatim (Tancred=Goat from Tancred/Anselm, Rinsa's own already-stated sign, the Vessel). Tancred is diadem; Rinsa is route 'both'. Goat's unglamorous work given a concrete target, and Vessel's pouring-out given a small relief. Platonic chain, capped at A.</t>
        </is>
      </c>
    </row>
    <row r="100">
      <c r="A100" s="17" t="inlineStr">
        <is>
          <t>sup_tancred_kest</t>
        </is>
      </c>
      <c r="B100" s="17" t="inlineStr">
        <is>
          <t>u_tancred</t>
        </is>
      </c>
      <c r="C100" s="17" t="inlineStr">
        <is>
          <t>u_kest</t>
        </is>
      </c>
      <c r="D100" s="17" t="inlineStr">
        <is>
          <t>sgn_goat</t>
        </is>
      </c>
      <c r="E100" s="17" t="inlineStr">
        <is>
          <t>sgn_twins</t>
        </is>
      </c>
      <c r="F100" s="17" t="inlineStr">
        <is>
          <t>no</t>
        </is>
      </c>
      <c r="G100" s="17" t="inlineStr">
        <is>
          <t>drafted</t>
        </is>
      </c>
      <c r="H100" s="17" t="inlineStr">
        <is>
          <t>C: Tancred, deep in his order's discipline, tells Kest plainly that a life of theft is exactly the kind of thing that needs building away from, one honest job at a time. Kest, mid-argument with herself as always, surprises him by agreeing with half of it out loud before catching herself. B: Tancred asks which half she agreed with. Kest admits it's not really about theft, it's the 'building away from' part -- she doesn't know how to build toward anything, only away from things, and has never once let herself imagine what an honest life would actually look like day to day instead of just what it wouldn't be. A: Tancred, who measures people by what they build rather than what they've fled, offers her something concrete instead of a sermon: come watch what his own building actually looks like, day to day, unglamorous, nothing like the redemption story she's picturing. Kest does, expecting to be unmoved, and finds the boredom of it more convincing than any argument would have been -- an honest life turns out to be smaller and less dramatic than the thing she's been arguing herself out of. She doesn't take it up. She stops arguing herself out of it being possible.</t>
        </is>
      </c>
      <c r="I100" s="17" t="inlineStr">
        <is>
          <t>Tancred=Goat reused from Tancred/Anselm. Kest's sign (the Twins) is her own already-stated sign, reused verbatim. Goat's virtue (unglamorous work, measured by what's built) offered as a concrete counter-example to Twins' failure mode ('won't commit while a better argument exists') -- showing rather than arguing. Platonic chain, capped at A.</t>
        </is>
      </c>
    </row>
    <row r="101">
      <c r="A101" s="17" t="inlineStr">
        <is>
          <t>sup_maren_brandt</t>
        </is>
      </c>
      <c r="B101" s="17" t="inlineStr">
        <is>
          <t>u_maren</t>
        </is>
      </c>
      <c r="C101" s="17" t="inlineStr">
        <is>
          <t>u_brandt</t>
        </is>
      </c>
      <c r="D101" s="17" t="inlineStr">
        <is>
          <t>sgn_crab</t>
        </is>
      </c>
      <c r="E101" s="17" t="inlineStr">
        <is>
          <t>sgn_bull</t>
        </is>
      </c>
      <c r="F101" s="17" t="inlineStr">
        <is>
          <t>no</t>
        </is>
      </c>
      <c r="G101" s="17" t="inlineStr">
        <is>
          <t>drafted</t>
        </is>
      </c>
      <c r="H101" s="17" t="inlineStr">
        <is>
          <t>C: Brandt's shield arm takes a hit that should have ended his rotation for the week; Maren, running the dole line short-handed, patches him fast and rough and tells him to sit down before she makes it an order. He doesn't sit down. She notices he doesn't, and files it. B: Maren starts treating Brandt's gate post as a second stop on her rounds, not because he asks, but because he's the one soldier on the wall who'll actually report an injury before it's an emergency -- which she reads correctly as him trusting her enough not to make him look weak for it. A: Brandt admits the gate holds because he's decided it has to, not because he's actually as sturdy as the post -- and that Maren's the only one who's caught the gap between those two things without using it against him. Maren, who's spent her whole practice deciding which people get her real attention instead of her rationed attention, makes her decision plain: she starts teaching him the forms that turn a shield-sergeant into someone who can actually take the hits he's been absorbing on will alone. The Great Shield he earns after isn't hers to take credit for. It's the first time either of them built something instead of just enduring it.</t>
        </is>
      </c>
      <c r="I101" s="17" t="inlineStr">
        <is>
          <t>Both signs reused verbatim (Maren=Crab from Avatar/Maren, Brandt=Bull from Brandt/Solveig). This is the class-unlock chain already referenced in units.u_brandt's own note ('Great shield via Maren support'), finally written -- kept platonic/mentorship, not romantic, consistent with the earlier decision (see the Brandt/Solveig and Ricberta/Brandt chains) to keep Brandt's canon class-unlock ally distinct from his actual romance-flagged option. Platonic chain, capped at A.</t>
        </is>
      </c>
    </row>
    <row r="102">
      <c r="A102" s="17" t="inlineStr">
        <is>
          <t>sup_maren_solveig</t>
        </is>
      </c>
      <c r="B102" s="17" t="inlineStr">
        <is>
          <t>u_maren</t>
        </is>
      </c>
      <c r="C102" s="17" t="inlineStr">
        <is>
          <t>u_solveig</t>
        </is>
      </c>
      <c r="D102" s="17" t="inlineStr">
        <is>
          <t>sgn_crab</t>
        </is>
      </c>
      <c r="E102" s="17" t="inlineStr">
        <is>
          <t>sgn_vessel</t>
        </is>
      </c>
      <c r="F102" s="17" t="inlineStr">
        <is>
          <t>no</t>
        </is>
      </c>
      <c r="G102" s="17" t="inlineStr">
        <is>
          <t>drafted</t>
        </is>
      </c>
      <c r="H102" s="17" t="inlineStr">
        <is>
          <t>C: Solveig's courier runs keep clipping the dole line's schedule, forcing Maren to reorganize around whenever the prophecy family needs the sky. Maren complains once, sharply, about being reorganized around someone else's inheritance. B: Solveig, who's never once had anyone push back against the prophecy's scheduling before, doesn't get defensive -- she asks what Maren actually needs, timing-wise, and starts working her own routes around the dole line instead of the other way around. Maren, expecting an argument about family obligation, gets accommodation instead, and doesn't know what to do with it. A: Maren admits she picked the fight expecting to lose it, the way every fight with an institution above her usually goes; Solveig tells her that's exactly the assumption she's spent her whole life resenting other people making about her own family's authority, and she'd rather not be one more thing people assume they can't push back against. Maren gets her schedule. Solveig gets the strange, small satisfaction of being the exception to her own pattern, on purpose, for someone who just asked plainly instead of deferring.</t>
        </is>
      </c>
      <c r="I102" s="17" t="inlineStr">
        <is>
          <t>Both signs reused verbatim (Maren=Crab from Avatar/Maren, Solveig=Vessel from Brandt/Solveig). Crab's loyalty to people over institutions pushes back against Vessel's failure mode ('belongs to everyone and therefore to nobody') and gets a real accommodation instead of the deference either expected. Platonic chain, capped at A.</t>
        </is>
      </c>
    </row>
    <row r="103">
      <c r="A103" s="17" t="inlineStr">
        <is>
          <t>sup_maren_gunnar</t>
        </is>
      </c>
      <c r="B103" s="17" t="inlineStr">
        <is>
          <t>u_maren</t>
        </is>
      </c>
      <c r="C103" s="17" t="inlineStr">
        <is>
          <t>u_gunnar</t>
        </is>
      </c>
      <c r="D103" s="17" t="inlineStr">
        <is>
          <t>sgn_crab</t>
        </is>
      </c>
      <c r="E103" s="17" t="inlineStr">
        <is>
          <t>sgn_goat</t>
        </is>
      </c>
      <c r="F103" s="17" t="inlineStr">
        <is>
          <t>no</t>
        </is>
      </c>
      <c r="G103" s="17" t="inlineStr">
        <is>
          <t>drafted</t>
        </is>
      </c>
      <c r="H103" s="17" t="inlineStr">
        <is>
          <t>C: Gunnar starts leaving game at the dole line. Maren asks what he wants for it. He says nothing. She doesn't believe free things and says so. B: She notices his portions always go to the same three households. He admits it: forty years of hunting means he knows who is thin before the healer does, because thin people leave less trail. A: Maren lays her triage lists beside his kill routes and finds they overlap almost exactly. She asks him to tell her who isn't being fed, and he does, unglamorously, week after week. He becomes her scout for hunger. Neither calls it loyalty. Maren says it's a habit, and Gunnar says habits are what loyalty is when nobody is watching.</t>
        </is>
      </c>
      <c r="I103" s="17" t="inlineStr">
        <is>
          <t>Both signs reused verbatim (Maren=Crab from Avatar/Maren, Gunnar=Goat from Gunnar/Edda). Both assembly-route. Goat's sustained exacting craft applied to Crab's scarcity triage; a hunter's tracking skill turned into a way of finding the unfed. Platonic chain, capped at A.</t>
        </is>
      </c>
    </row>
    <row r="104">
      <c r="A104" s="17" t="inlineStr">
        <is>
          <t>sup_maren_edda</t>
        </is>
      </c>
      <c r="B104" s="17" t="inlineStr">
        <is>
          <t>u_maren</t>
        </is>
      </c>
      <c r="C104" s="17" t="inlineStr">
        <is>
          <t>u_edda</t>
        </is>
      </c>
      <c r="D104" s="17" t="inlineStr">
        <is>
          <t>sgn_crab</t>
        </is>
      </c>
      <c r="E104" s="17" t="inlineStr">
        <is>
          <t>sgn_maiden</t>
        </is>
      </c>
      <c r="F104" s="17" t="inlineStr">
        <is>
          <t>no</t>
        </is>
      </c>
      <c r="G104" s="17" t="inlineStr">
        <is>
          <t>drafted</t>
        </is>
      </c>
      <c r="H104" s="17" t="inlineStr">
        <is>
          <t>C: Edda asks Maren for the history of the dole line and Maren says nobody has ever written it. Edda says that's exactly why she is asking. B: She spends a winter learning the names in Maren's ledger by heart, one at a time, and asks about each. Maren answers more than she intended to. A: At midwinter Edda recites the year's names to the assembled queue. The line hears itself said aloud. Maren has never seen it stand still for anything, and it stands still for that. Nobody claps. Maren writes down that nobody did, and that it was right.</t>
        </is>
      </c>
      <c r="I104" s="17" t="inlineStr">
        <is>
          <t>Both signs reused verbatim (Maren=Crab from Avatar/Maren, Edda=Maiden from Waldrada/Edda). Both assembly-route, so no convergence framing needed. Maiden's record-keeping applied to Crab's hand-kept names. Platonic chain, capped at A.</t>
        </is>
      </c>
    </row>
    <row r="105">
      <c r="A105" s="17" t="inlineStr">
        <is>
          <t>sup_maren_anselm</t>
        </is>
      </c>
      <c r="B105" s="17" t="inlineStr">
        <is>
          <t>u_maren</t>
        </is>
      </c>
      <c r="C105" s="17" t="inlineStr">
        <is>
          <t>u_anselm</t>
        </is>
      </c>
      <c r="D105" s="17" t="inlineStr">
        <is>
          <t>sgn_crab</t>
        </is>
      </c>
      <c r="E105" s="17" t="inlineStr">
        <is>
          <t>sgn_fishes</t>
        </is>
      </c>
      <c r="F105" s="17" t="inlineStr">
        <is>
          <t>no</t>
        </is>
      </c>
      <c r="G105" s="17" t="inlineStr">
        <is>
          <t>drafted</t>
        </is>
      </c>
      <c r="H105" s="17" t="inlineStr">
        <is>
          <t>C: Two faith-tree healers argue their first triage call opposite ways -- Anselm wants to bless the dying properly even if it costs the line time; Maren wants the line moving, blessing be damned, because more people live that way. B: Anselm admits he can't finish a blessing without a caveat lately, doctrine gone loose in his hands, and watching Maren work without any of his doubt looks like a mercy he's lost the knack for. Maren corrects him: it's not certainty, it's that she decided a long time ago which people she's loyal to, and the dole line always wins the tiebreak. A: Maren admits the certainty is a mask over the same doubt his caveats are honest about -- she's just better at not showing it while the line's still moving. Anselm, whose whole practice has become sitting in the doubt rather than hiding it, offers her the one thing his theology's actually good for: permission to not have it worked out yet and keep working anyway. It's the first time anyone's told her the mask doesn't have to be a wound.</t>
        </is>
      </c>
      <c r="I105" s="17" t="inlineStr">
        <is>
          <t>Both signs reused verbatim from their own established chains (Maren=Crab from Avatar/Maren, Anselm=Fishes from Tancred/Anselm). Both faith-tree healers (cls_tr_faith), assembly-route, direct doctrine-vs-practice friction. Platonic chain, capped at A.</t>
        </is>
      </c>
    </row>
    <row r="106">
      <c r="A106" s="17" t="inlineStr">
        <is>
          <t>sup_maren_kheldar</t>
        </is>
      </c>
      <c r="B106" s="17" t="inlineStr">
        <is>
          <t>u_maren</t>
        </is>
      </c>
      <c r="C106" s="17" t="inlineStr">
        <is>
          <t>u_kheldar</t>
        </is>
      </c>
      <c r="D106" s="17" t="inlineStr">
        <is>
          <t>sgn_crab</t>
        </is>
      </c>
      <c r="E106" s="17" t="inlineStr">
        <is>
          <t>sgn_scorpion</t>
        </is>
      </c>
      <c r="F106" s="17" t="inlineStr">
        <is>
          <t>no</t>
        </is>
      </c>
      <c r="G106" s="17" t="inlineStr">
        <is>
          <t>drafted</t>
        </is>
      </c>
      <c r="H106" s="17" t="inlineStr">
        <is>
          <t>C: Maren's dole allotments keep coming up short in ways that trace, eventually, back to Kheldar's manifest games; she corners him expecting to have to threaten someone for once. B: Kheldar, who has never once been cornered by someone who wasn't after a cut, is thrown by a healer who just wants the shortage to stop, no leverage implied. He offers, half as a joke, to make her specific shortage disappear -- meaning fixed, not hidden. A: Maren takes the offer and makes her terms plain: she doesn't care what else he moves through his manifests, only that her line stays whole, and she'll know if it doesn't. Kheldar, who has spent his whole career being the discrepancy nobody can pin down, finds himself pinned down anyway, by someone with no leverage over him at all except that he'd have to look at himself if her line went hungry on his account. He keeps the deal. He doesn't examine too closely why hers is the one account he balances for free.</t>
        </is>
      </c>
      <c r="I106" s="17" t="inlineStr">
        <is>
          <t>Both signs reused verbatim (Maren=Crab from Avatar/Maren, Kheldar=Scorpion from Kheldar/Kest). Crab's virtue (loyal past reason, to people not causes) as the one thing in Kheldar's orbit he can't out-negotiate, since she isn't negotiating. Platonic chain, capped at A.</t>
        </is>
      </c>
    </row>
    <row r="107">
      <c r="A107" s="17" t="inlineStr">
        <is>
          <t>sup_maren_dietmar</t>
        </is>
      </c>
      <c r="B107" s="17" t="inlineStr">
        <is>
          <t>u_maren</t>
        </is>
      </c>
      <c r="C107" s="17" t="inlineStr">
        <is>
          <t>u_dietmar</t>
        </is>
      </c>
      <c r="D107" s="17" t="inlineStr">
        <is>
          <t>sgn_crab</t>
        </is>
      </c>
      <c r="E107" s="17" t="inlineStr">
        <is>
          <t>sgn_lion</t>
        </is>
      </c>
      <c r="F107" s="17" t="inlineStr">
        <is>
          <t>no</t>
        </is>
      </c>
      <c r="G107" s="17" t="inlineStr">
        <is>
          <t>drafted</t>
        </is>
      </c>
      <c r="H107" s="17" t="inlineStr">
        <is>
          <t>C: Maren notices Dietmar favouring one leg and asks about it. He says it's nothing. She says it's old. He refuses treatment out of pride: the revolution is over and so are its wounds, in his account. B: She tells him the revolution's wounds are still arriving at her line every winter, whether anyone counts them or not. Dietmar has never thought of himself as one of them. A: He lets her treat it, at the dole line, in the queue with everyone else. A woman two places behind him says her husband fought at his side; Dietmar hears the legend from someone who paid for it. Maren says the line is where the revolution's bill arrives, and he is entitled to be on it. He comes back the next week, for the leg, and stays to carry crates.</t>
        </is>
      </c>
      <c r="I107" s="17" t="inlineStr">
        <is>
          <t>Both signs reused verbatim (Maren=Crab from Avatar/Maren, Dietmar=Lion from Dietmar/Torvald). Cross-route (assembly/diadem), post-convergence. Lion's need for an audience is met, unexpectedly, by a queue of people the revolution cost. Platonic chain, capped at A.</t>
        </is>
      </c>
    </row>
    <row r="108">
      <c r="A108" s="17" t="inlineStr">
        <is>
          <t>sup_maren_torvald</t>
        </is>
      </c>
      <c r="B108" s="17" t="inlineStr">
        <is>
          <t>u_maren</t>
        </is>
      </c>
      <c r="C108" s="17" t="inlineStr">
        <is>
          <t>u_torvald</t>
        </is>
      </c>
      <c r="D108" s="17" t="inlineStr">
        <is>
          <t>sgn_crab</t>
        </is>
      </c>
      <c r="E108" s="17" t="inlineStr">
        <is>
          <t>sgn_crab</t>
        </is>
      </c>
      <c r="F108" s="17" t="inlineStr">
        <is>
          <t>no</t>
        </is>
      </c>
      <c r="G108" s="17" t="inlineStr">
        <is>
          <t>drafted</t>
        </is>
      </c>
      <c r="H108" s="17" t="inlineStr">
        <is>
          <t>C: Torvald's post gets folded into Maren's dole rounds almost by accident -- one more stop on a route that keeps growing as the assembly's resources keep shrinking. Maren treats him like any other ration point; Torvald, unused to being on anyone's list at all, doesn't know how to be included in something so ordinary. B: Maren notices he never actually takes the full ration, always leaves some back for 'whoever needs it more,' and tells him plainly that's not how triage works -- if he's on the list, he's on the list, and shorting himself just moves the math around instead of fixing it. Torvald admits the habit's old: an order used to share everything down to nothing, and he's never unlearned dividing his own share smaller. A: Torvald explains what's actually left of the order isn't men anymore, it's the habit -- and giving that up feels like losing the last piece of them. Maren, whose whole practice is deciding who gets her real, undivided attention, tells him the habit doesn't have to end, it just doesn't have to be a subtraction: take the full share, and if he wants to give something back, give it to someone who's actually asking, not to an assumption. Torvald starts taking the full ration. He starts actually looking for someone specific to help with what he used to just subtract away.</t>
        </is>
      </c>
      <c r="I108" s="17" t="inlineStr">
        <is>
          <t>Both signs reused verbatim (Maren=Crab from Avatar/Maren, Torvald=Crab from Dietmar/Torvald). A third Crab-Crab pairing -- distinct angle: a healer's scarcity-triage meets a survivor's inherited habit of self-erasure, both forms of loyalty to something numerically dwindling (the dole line's resources, a dead order's men), resolved by making the loyalty additive instead of subtractive. Platonic chain, capped at A.</t>
        </is>
      </c>
    </row>
    <row r="109">
      <c r="A109" s="17" t="inlineStr">
        <is>
          <t>sup_maren_rinsa</t>
        </is>
      </c>
      <c r="B109" s="17" t="inlineStr">
        <is>
          <t>u_maren</t>
        </is>
      </c>
      <c r="C109" s="17" t="inlineStr">
        <is>
          <t>u_rinsa</t>
        </is>
      </c>
      <c r="D109" s="17" t="inlineStr">
        <is>
          <t>sgn_crab</t>
        </is>
      </c>
      <c r="E109" s="17" t="inlineStr">
        <is>
          <t>sgn_vessel</t>
        </is>
      </c>
      <c r="F109" s="17" t="inlineStr">
        <is>
          <t>no</t>
        </is>
      </c>
      <c r="G109" s="17" t="inlineStr">
        <is>
          <t>drafted</t>
        </is>
      </c>
      <c r="H109" s="17" t="inlineStr">
        <is>
          <t>C: Rinsa comes up to the dole line asking why the crown stopped sending the parish lists; the oracle's waiting list is full of plague dead and she can't match them to anyone. Maren, without a word, hands her a folded sheaf. B: Maren has been recording the dead by name herself, by hand, every winter, because nobody else was. Rinsa compares them against the oracle's list. They match almost exactly. A: Rinsa says the dead keep arriving with the same question, and she has never been able to answer it properly because she never had their names. Maren gives her the sheaf to carry down, so the dead can be asked for by name. Maren says loyalty to people doesn't stop at the grave, only the dole does. Rinsa takes the lists down on the next descent, and comes back up with one name Maren didn't have.</t>
        </is>
      </c>
      <c r="I109" s="17" t="inlineStr">
        <is>
          <t>Both signs reused verbatim (Maren=Crab from Avatar/Maren, Rinsa's own already-stated sign, the Vessel). Assembly framing per Rinsa's own note ('the oracle's waiting list is full of your plague dead... why the crown stopped sending the parish lists'). Platonic chain, capped at A.</t>
        </is>
      </c>
    </row>
    <row r="110">
      <c r="A110" s="17" t="inlineStr">
        <is>
          <t>sup_maren_kest</t>
        </is>
      </c>
      <c r="B110" s="17" t="inlineStr">
        <is>
          <t>u_maren</t>
        </is>
      </c>
      <c r="C110" s="17" t="inlineStr">
        <is>
          <t>u_kest</t>
        </is>
      </c>
      <c r="D110" s="17" t="inlineStr">
        <is>
          <t>sgn_crab</t>
        </is>
      </c>
      <c r="E110" s="17" t="inlineStr">
        <is>
          <t>sgn_twins</t>
        </is>
      </c>
      <c r="F110" s="17" t="inlineStr">
        <is>
          <t>no</t>
        </is>
      </c>
      <c r="G110" s="17" t="inlineStr">
        <is>
          <t>drafted</t>
        </is>
      </c>
      <c r="H110" s="17" t="inlineStr">
        <is>
          <t>C: Kest steals medicine from the dole stores, and Maren catches her at it. Kest expects to be reported. B: Maren notes she has never once taken any for herself. Kest argues both sides of whether to explain, out loud, and Maren waits through the whole thing without interrupting. Kest doesn't explain. A: Maren gives her a standing allotment instead, with one line left blank in the ledger, a name she can fill in whenever she wants. Kest never does. The allotment goes out every week. Maren says a blank in the ledger is still a place she can keep for someone.</t>
        </is>
      </c>
      <c r="I110" s="17" t="inlineStr">
        <is>
          <t>Both signs reused verbatim (Maren=Crab from Avatar/Maren, Kest's own already-stated sign, the Twins). Cross-route (assembly/diadem), post-convergence. Deliberately leaves Kest's withheld reveal unspoken -- the blank line gestures at it without claiming it, per her own note. Platonic chain, capped at A.</t>
        </is>
      </c>
    </row>
    <row r="111">
      <c r="A111" s="17" t="inlineStr">
        <is>
          <t>sup_brandt_solveig</t>
        </is>
      </c>
      <c r="B111" s="17" t="inlineStr">
        <is>
          <t>u_brandt</t>
        </is>
      </c>
      <c r="C111" s="17" t="inlineStr">
        <is>
          <t>u_solveig</t>
        </is>
      </c>
      <c r="D111" s="17" t="inlineStr">
        <is>
          <t>sgn_bull</t>
        </is>
      </c>
      <c r="E111" s="17" t="inlineStr">
        <is>
          <t>sgn_vessel</t>
        </is>
      </c>
      <c r="F111" s="17" t="inlineStr">
        <is>
          <t>yes</t>
        </is>
      </c>
      <c r="G111" s="17" t="inlineStr">
        <is>
          <t>drafted</t>
        </is>
      </c>
      <c r="H111" s="17" t="inlineStr">
        <is>
          <t>C: Solveig's courier runs land her at Brandt's gate on a fixed schedule. He starts timing his own rounds to be the one who opens it, which he tells himself is just efficient gatekeeping. B: Solveig admits the schedule isn't fixed at all -- she reroutes to make Brandt's gate the last stop, because it's the only post on her circuit where nobody expects her to already know how things turn out. Brandt, who has held the same gate for years without needing to be more than reliable, doesn't know what to do with being someone's exception. A: Solveig explains the family holds her prophecy in trust the way a garrison holds a gate -- not hers to decide, only to carry until it's needed -- and that no one has ever once asked what she wants instead. Brandt, who measures his own worth in whether the gate held, tells her the gate was never the whole job; someone still has to decide, every day, that it's worth holding. It's the first time being wanted for something other than the outcome has been put to her plainly. S (romance): Solveig starts flying the long way around just to land somewhere nobody's waiting on a prophecy from; Brandt gets a reason to be more than the gate that held -- someone on the other side of it who chooses to keep coming back.</t>
        </is>
      </c>
      <c r="I111" s="17" t="inlineStr">
        <is>
          <t>Brandt=Bull is new, off his own note ('gate sergeant', cls_tr_lance/gp_armor) -- a defensive tank who literally holds a gate, the most literal possible read of the Bull's 'will not be moved,' chosen deliberately over a more oblique match. Solveig=Vessel is new, off her own note ('highland pegasus courier; living-prophecy family' -- inherited into a role she didn't choose and carries for others, the Vessel's failure mode 'belongs to everyone and therefore to nobody' read as family inheritance rather than Rinsa's professional/oracular version of the same sign). Brandt's existing 'Great shield via Maren support' note (units.u_brandt) is a separate class-unlock chain, preserved as-is and not folded into this pairing -- this is Brandt's distinct, actually-romance-flagged option, per the original skeleton note.</t>
        </is>
      </c>
    </row>
    <row r="112">
      <c r="A112" s="17" t="inlineStr">
        <is>
          <t>sup_brandt_gunnar</t>
        </is>
      </c>
      <c r="B112" s="17" t="inlineStr">
        <is>
          <t>u_brandt</t>
        </is>
      </c>
      <c r="C112" s="17" t="inlineStr">
        <is>
          <t>u_gunnar</t>
        </is>
      </c>
      <c r="D112" s="17" t="inlineStr">
        <is>
          <t>sgn_bull</t>
        </is>
      </c>
      <c r="E112" s="17" t="inlineStr">
        <is>
          <t>sgn_goat</t>
        </is>
      </c>
      <c r="F112" s="17" t="inlineStr">
        <is>
          <t>no</t>
        </is>
      </c>
      <c r="G112" s="17" t="inlineStr">
        <is>
          <t>drafted</t>
        </is>
      </c>
      <c r="H112" s="17" t="inlineStr">
        <is>
          <t>C: Brandt holds the gate; Gunnar covers it from the wall above with a crossbow, and after the first real assault they compare notes on whose position actually mattered more. Neither backs down. B: Gunnar admits, grudgingly, that his aim's only as good as the time the gate buys him to line up a shot -- Brandt's stubbornness isn't just holding ground, it's manufacturing the seconds Gunnar's whole craft depends on. Brandt, who's spent his career being underestimated as simple muscle, hadn't considered that the gate was ever anyone's clock. A: Brandt admits he measures his own worth purely in whether the gate held, nothing more complicated than that; Gunnar, decades further into the same kind of unglamorous, solitary discipline, tells him that's the wrong measure for either of them -- the gate holding is what the standard produces, not what it is. Two men who each assumed they were the whole defense find out, plainly, neither one of them was ever meant to be.</t>
        </is>
      </c>
      <c r="I112" s="17" t="inlineStr">
        <is>
          <t>Both signs reused verbatim (Brandt=Bull from Brandt/Solveig, Gunnar=Goat from Gunnar/Edda). Both assembly-route. Bull's virtue ('holds ground nobody else could') and Goat's virtue ('will do the unglamorous work for years') read as literally complementary combat roles (gate + overwatch) before becoming a philosophical point about measuring one's own worth. Platonic chain, capped at A.</t>
        </is>
      </c>
    </row>
    <row r="113">
      <c r="A113" s="17" t="inlineStr">
        <is>
          <t>sup_brandt_edda</t>
        </is>
      </c>
      <c r="B113" s="17" t="inlineStr">
        <is>
          <t>u_brandt</t>
        </is>
      </c>
      <c r="C113" s="17" t="inlineStr">
        <is>
          <t>u_edda</t>
        </is>
      </c>
      <c r="D113" s="17" t="inlineStr">
        <is>
          <t>sgn_bull</t>
        </is>
      </c>
      <c r="E113" s="17" t="inlineStr">
        <is>
          <t>sgn_maiden</t>
        </is>
      </c>
      <c r="F113" s="17" t="inlineStr">
        <is>
          <t>no</t>
        </is>
      </c>
      <c r="G113" s="17" t="inlineStr">
        <is>
          <t>drafted</t>
        </is>
      </c>
      <c r="H113" s="17" t="inlineStr">
        <is>
          <t>C: Edda asks to see Brandt's gate log. He keeps none; he holds every watch by memory, and has for years. B: Edda offers to write it down for him. Brandt refuses: if it's on paper he'll start leaning on the paper, and the gate will stop being the thing that holds. Edda, who spends her life preserving what people won't write, understands the objection better than she'd like. A: They compromise. Once a season Edda will recite his gate's history back to him from what he tells her, in her own words, as a record made of him and not by him. Brandt hears his own years told as a story for the first time, and finds that some of it was harder than he remembered, and some of it better. He still refuses to write it down, and starts telling her the parts he'd normally leave out.</t>
        </is>
      </c>
      <c r="I113" s="17" t="inlineStr">
        <is>
          <t>Both signs reused verbatim (Brandt=Bull from Brandt/Solveig, Edda=Maiden from Waldrada/Edda). Both assembly-route. Bull's failure mode (mistakes stubbornness for principle) softened into a workable rule by Maiden's record-keeping. Platonic chain, capped at A.</t>
        </is>
      </c>
    </row>
    <row r="114">
      <c r="A114" s="17" t="inlineStr">
        <is>
          <t>sup_brandt_anselm</t>
        </is>
      </c>
      <c r="B114" s="17" t="inlineStr">
        <is>
          <t>u_brandt</t>
        </is>
      </c>
      <c r="C114" s="17" t="inlineStr">
        <is>
          <t>u_anselm</t>
        </is>
      </c>
      <c r="D114" s="17" t="inlineStr">
        <is>
          <t>sgn_bull</t>
        </is>
      </c>
      <c r="E114" s="17" t="inlineStr">
        <is>
          <t>sgn_fishes</t>
        </is>
      </c>
      <c r="F114" s="17" t="inlineStr">
        <is>
          <t>no</t>
        </is>
      </c>
      <c r="G114" s="17" t="inlineStr">
        <is>
          <t>drafted</t>
        </is>
      </c>
      <c r="H114" s="17" t="inlineStr">
        <is>
          <t>C: Anselm asks Brandt whether he wants the gate blessed. Brandt says he isn't the one to ask. Anselm says he isn't the one to give it, either. B: They sit at the gate together and try anyway. Anselm blesses it with every caveat he owns; Brandt listens. The gate holds through the night, the same as it always does, and Brandt says so. A: Brandt says he doesn't need the blessing to be certain, only said. Anselm says it once more, plainly, with no caveat, for the gate alone. Brandt says it holds. It isn't a theology. It is the first thing Anselm has said in months that he didn't immediately take back.</t>
        </is>
      </c>
      <c r="I114" s="17" t="inlineStr">
        <is>
          <t>Both signs reused verbatim (Brandt=Bull from Brandt/Solveig, Anselm=Fishes from Tancred/Anselm). Both assembly-route. Bull's need for a plain thing said against Fishes' habit of qualifying everything. Platonic chain, capped at A.</t>
        </is>
      </c>
    </row>
    <row r="115">
      <c r="A115" s="17" t="inlineStr">
        <is>
          <t>sup_brandt_kheldar</t>
        </is>
      </c>
      <c r="B115" s="17" t="inlineStr">
        <is>
          <t>u_brandt</t>
        </is>
      </c>
      <c r="C115" s="17" t="inlineStr">
        <is>
          <t>u_kheldar</t>
        </is>
      </c>
      <c r="D115" s="17" t="inlineStr">
        <is>
          <t>sgn_bull</t>
        </is>
      </c>
      <c r="E115" s="17" t="inlineStr">
        <is>
          <t>sgn_scorpion</t>
        </is>
      </c>
      <c r="F115" s="17" t="inlineStr">
        <is>
          <t>no</t>
        </is>
      </c>
      <c r="G115" s="17" t="inlineStr">
        <is>
          <t>drafted</t>
        </is>
      </c>
      <c r="H115" s="17" t="inlineStr">
        <is>
          <t>C: Kheldar's goods keep passing Brandt's gate, and Brandt inspects everything. Kheldar keeps offering small bribes that Brandt refuses and logs. B: Kheldar raises the offer. Brandt logs that too. He says he'll pass anything that's on the manifest. Kheldar, unable to find the angle, asks what the angle is. Brandt says there isn't one. A: Kheldar writes a true manifest to get through, the first he has ever written. It turns out to be faster than any bribe: no delays, no questions. He keeps writing them. Brandt says the gate wants nothing from him but the truth, and Kheldar notes, with real irritation, that it is also the cheapest way through.</t>
        </is>
      </c>
      <c r="I115" s="17" t="inlineStr">
        <is>
          <t>Both signs reused verbatim (Brandt=Bull from Brandt/Solveig, Kheldar=Scorpion from Kheldar/Kest). Brandt is assembly; Kheldar is route 'both'. Bull's immovability against Scorpion's leverage, resolved in the one place where honesty is the shortest route. Platonic chain, capped at A.</t>
        </is>
      </c>
    </row>
    <row r="116">
      <c r="A116" s="17" t="inlineStr">
        <is>
          <t>sup_brandt_dietmar</t>
        </is>
      </c>
      <c r="B116" s="17" t="inlineStr">
        <is>
          <t>u_brandt</t>
        </is>
      </c>
      <c r="C116" s="17" t="inlineStr">
        <is>
          <t>u_dietmar</t>
        </is>
      </c>
      <c r="D116" s="17" t="inlineStr">
        <is>
          <t>sgn_bull</t>
        </is>
      </c>
      <c r="E116" s="17" t="inlineStr">
        <is>
          <t>sgn_lion</t>
        </is>
      </c>
      <c r="F116" s="17" t="inlineStr">
        <is>
          <t>no</t>
        </is>
      </c>
      <c r="G116" s="17" t="inlineStr">
        <is>
          <t>drafted</t>
        </is>
      </c>
      <c r="H116" s="17" t="inlineStr">
        <is>
          <t>C: Dietmar, inspecting the assembly's defenses, singles out Brandt's gate as unglamorous but solid, meant as a compliment; Brandt takes it as one, flatly, without the gratitude Dietmar's used to getting for noticing someone. B: Dietmar, who has spent the obsolescence arc needing his praise to actually land, is thrown by a man who receives it and just goes back to work. He asks, almost accusingly, whether Brandt even cares whether anyone notices the gate holds. Brandt's answer: the gate cares, in the sense that it either holds or it doesn't, and that was always going to be true whether Dietmar noticed or not. A: Dietmar admits that's exactly the thing he's lost and can't get back -- a measure of worth that doesn't depend on an audience. Brandt tells him plainly it's not lost, it's just buried under needing the audience for so long that the actual measure's hard to find underneath it -- but the gate's still there, holding, whether Dietmar's watching himself hold it or not. Dietmar doesn't stop wanting to be seen. He does start checking his own work against the plainer measure first, before he checks it against anyone's opinion of it.</t>
        </is>
      </c>
      <c r="I116" s="17" t="inlineStr">
        <is>
          <t>Both signs reused verbatim (Brandt=Bull from Brandt/Solveig, Dietmar=Lion from Dietmar/Torvald). Bull's virtue (holds ground, needs no audience to know it held) offered as a model to Lion's failure mode ('cannot take a demotion gracefully') -- a plainer measure of worth underneath the need to be watched. Platonic chain, capped at A.</t>
        </is>
      </c>
    </row>
    <row r="117">
      <c r="A117" s="17" t="inlineStr">
        <is>
          <t>sup_brandt_torvald</t>
        </is>
      </c>
      <c r="B117" s="17" t="inlineStr">
        <is>
          <t>u_brandt</t>
        </is>
      </c>
      <c r="C117" s="17" t="inlineStr">
        <is>
          <t>u_torvald</t>
        </is>
      </c>
      <c r="D117" s="17" t="inlineStr">
        <is>
          <t>sgn_bull</t>
        </is>
      </c>
      <c r="E117" s="17" t="inlineStr">
        <is>
          <t>sgn_crab</t>
        </is>
      </c>
      <c r="F117" s="17" t="inlineStr">
        <is>
          <t>no</t>
        </is>
      </c>
      <c r="G117" s="17" t="inlineStr">
        <is>
          <t>drafted</t>
        </is>
      </c>
      <c r="H117" s="17" t="inlineStr">
        <is>
          <t>C: Brandt, gate sergeant, and Torvald, last of a dead order, hold adjacent posts on the same wall; Brandt asks him once why he never requests relief, and Torvald asks him right back why he'd ever want it. B: Brandt admits he's never actually wanted relief either -- he just assumed everyone did, and asking felt like the polite thing rather than the honest one. Torvald tells him there's no politeness left in his own case, just the plain fact that holding the post is the only shape his loyalty has left to take, and he'd rather take that shape than none. A: Brandt admits his own gate isn't so different -- he measures his whole worth in whether it holds, same as Torvald measures his in showing up for an order that can't order him anymore. Torvald tells him that's not nothing, and it's not the same as his own case either: Brandt's gate still has a Baron behind it who'd notice if it fell; Torvald's post doesn't, and he holds it anyway. Two men who both mistook holding for the whole job find, side by side on the same wall, that the mistake was smaller than they thought -- the post was never the whole job, but it also was never nothing.</t>
        </is>
      </c>
      <c r="I117" s="17" t="inlineStr">
        <is>
          <t>Both signs reused verbatim (Brandt=Bull from Brandt/Solveig, Torvald=Crab from Dietmar/Torvald). Both assembly-route. Bull's virtue ('holds ground nobody else could') set beside Crab's virtue (loyal past reason) as two adjacent, structurally similar postures on the same wall, differentiated by what's still watching. Platonic chain, capped at A.</t>
        </is>
      </c>
    </row>
    <row r="118">
      <c r="A118" s="17" t="inlineStr">
        <is>
          <t>sup_brandt_rinsa</t>
        </is>
      </c>
      <c r="B118" s="17" t="inlineStr">
        <is>
          <t>u_brandt</t>
        </is>
      </c>
      <c r="C118" s="17" t="inlineStr">
        <is>
          <t>u_rinsa</t>
        </is>
      </c>
      <c r="D118" s="17" t="inlineStr">
        <is>
          <t>sgn_bull</t>
        </is>
      </c>
      <c r="E118" s="17" t="inlineStr">
        <is>
          <t>sgn_vessel</t>
        </is>
      </c>
      <c r="F118" s="17" t="inlineStr">
        <is>
          <t>no</t>
        </is>
      </c>
      <c r="G118" s="17" t="inlineStr">
        <is>
          <t>drafted</t>
        </is>
      </c>
      <c r="H118" s="17" t="inlineStr">
        <is>
          <t>C: Rinsa asks to cross at Brandt's gate. He logs her, asks the usual questions, and lets her through without any of the wariness she usually gets from soldiers. B: She asks why he holds a gate against the dead. He says only against the living; the dead have never asked to come in. Rinsa says she has spent years with them and they never do. A: Brandt asks what it's like on the other side. Rinsa says the same as here, only quieter. He says he'll leave the gate on the latch for her at night, whenever she comes back up. Rinsa has crossed thousands of thresholds for other people. Nobody has ever kept one open for her.</t>
        </is>
      </c>
      <c r="I118" s="17" t="inlineStr">
        <is>
          <t>Both signs reused verbatim (Brandt=Bull from Brandt/Solveig, Rinsa's own already-stated sign, the Vessel). Brandt is assembly; Rinsa is route 'both'. Bull's 'holds ground nobody else could' turned into holding a door for the one person who holds it for everyone else. Platonic chain, capped at A.</t>
        </is>
      </c>
    </row>
    <row r="119">
      <c r="A119" s="17" t="inlineStr">
        <is>
          <t>sup_brandt_kest</t>
        </is>
      </c>
      <c r="B119" s="17" t="inlineStr">
        <is>
          <t>u_brandt</t>
        </is>
      </c>
      <c r="C119" s="17" t="inlineStr">
        <is>
          <t>u_kest</t>
        </is>
      </c>
      <c r="D119" s="17" t="inlineStr">
        <is>
          <t>sgn_bull</t>
        </is>
      </c>
      <c r="E119" s="17" t="inlineStr">
        <is>
          <t>sgn_twins</t>
        </is>
      </c>
      <c r="F119" s="17" t="inlineStr">
        <is>
          <t>no</t>
        </is>
      </c>
      <c r="G119" s="17" t="inlineStr">
        <is>
          <t>drafted</t>
        </is>
      </c>
      <c r="H119" s="17" t="inlineStr">
        <is>
          <t>C: Kest, casing the assembly gate out of old habit, gets caught immediately -- Brandt doesn't move fast, he just doesn't move at all, which turns out to be enough. She's more annoyed at herself than at him. B: Brandt, who has never once needed a plan B for holding a gate, asks why she didn't just pick a different approach when the first one clearly wasn't working. Kest admits she was still arguing with herself about whether the job was worth doing at all, and got caught mid-argument, same as always -- the indecision costs her more jobs than any guard does. A: Brandt tells her plainly that he's never once had two minds about anything, holding the gate is the whole of what he is, and he doesn't understand the argument she's describing well enough to advise her on it -- but he does understand standing still long enough for a decision to catch up to you, since that's most of his job. Kest, who's spent her life moving fast enough to outrun the argument instead of resolving it, tries his method once, out of curiosity, and finds that standing still is worse and better than she expected -- worse because the argument catches up, better because it's finally forced to actually finish.</t>
        </is>
      </c>
      <c r="I119" s="17" t="inlineStr">
        <is>
          <t>Brandt=Bull reused from Brandt/Solveig. Kest's sign (the Twins) is her own already-stated sign, reused verbatim. Bull's virtue ('holds ground nobody else could') read literally as an answer to Twins' failure mode ('won't commit while a better argument exists') -- standing still long enough for a decision to resolve, rather than running from it. Platonic chain, capped at A.</t>
        </is>
      </c>
    </row>
    <row r="120">
      <c r="A120" s="17" t="inlineStr">
        <is>
          <t>sup_solveig_gunnar</t>
        </is>
      </c>
      <c r="B120" s="17" t="inlineStr">
        <is>
          <t>u_solveig</t>
        </is>
      </c>
      <c r="C120" s="17" t="inlineStr">
        <is>
          <t>u_gunnar</t>
        </is>
      </c>
      <c r="D120" s="17" t="inlineStr">
        <is>
          <t>sgn_vessel</t>
        </is>
      </c>
      <c r="E120" s="17" t="inlineStr">
        <is>
          <t>sgn_goat</t>
        </is>
      </c>
      <c r="F120" s="17" t="inlineStr">
        <is>
          <t>no</t>
        </is>
      </c>
      <c r="G120" s="17" t="inlineStr">
        <is>
          <t>drafted</t>
        </is>
      </c>
      <c r="H120" s="17" t="inlineStr">
        <is>
          <t>C: Solveig's courier route crosses Gunnar's hunting grounds regularly enough that he starts leaving a marker where he wants her to land instead of just complaining about the noise. She's surprised to be accommodated rather than scolded. B: Gunnar admits the marker isn't really about the noise -- it's that watching her fly the same route on the same schedule, prophecy-bound, reminds him of tracking game on a set circuit, and he finds himself curious what it's like to be the thing being tracked instead of the tracker. Solveig tells him it's exactly what it sounds like: always known where you'll be next, by someone else's expectation. A: Gunnar admits decades of solitary tracking never once made him feel watched, only watchful; Solveig's whole life has been the reverse. He offers her something he's never offered anyone: teach her the parts of the land that aren't on the family's expected circuit, the blind spots even a prophecy hasn't mapped. Solveig takes him up on it, not to escape the route, just to know there's more of the world than the part she's expected to fly through.</t>
        </is>
      </c>
      <c r="I120" s="17" t="inlineStr">
        <is>
          <t>Both signs reused verbatim (Solveig=Vessel from Brandt/Solveig, Gunnar=Goat from Gunnar/Edda). Vessel's failure mode ('belongs to everyone and therefore to nobody,' always known, always expected) met by Goat's own solitary expertise -- mapping the blind spots a prophecy never accounted for. Platonic chain, capped at A.</t>
        </is>
      </c>
    </row>
    <row r="121">
      <c r="A121" s="17" t="inlineStr">
        <is>
          <t>sup_solveig_edda</t>
        </is>
      </c>
      <c r="B121" s="17" t="inlineStr">
        <is>
          <t>u_solveig</t>
        </is>
      </c>
      <c r="C121" s="17" t="inlineStr">
        <is>
          <t>u_edda</t>
        </is>
      </c>
      <c r="D121" s="17" t="inlineStr">
        <is>
          <t>sgn_vessel</t>
        </is>
      </c>
      <c r="E121" s="17" t="inlineStr">
        <is>
          <t>sgn_maiden</t>
        </is>
      </c>
      <c r="F121" s="17" t="inlineStr">
        <is>
          <t>no</t>
        </is>
      </c>
      <c r="G121" s="17" t="inlineStr">
        <is>
          <t>drafted</t>
        </is>
      </c>
      <c r="H121" s="17" t="inlineStr">
        <is>
          <t>C: Edda wants the family prophecy recited to her exactly as Solveig's house tells it, word for word, for the record. Solveig gives her the official version, flawless, rehearsed -- the one she's recited a hundred times for people who wanted exactly that. B: Edda, whose whole craft is catching discrepancies, notices the recitation's too flawless, too rehearsed, and asks what the unofficial version sounds like. Solveig admits there isn't one, not because it doesn't exist, but because she's never been asked for it before -- only ever the official one, by everyone, always. A: Solveig gives her the real version, halting, unrehearsed, full of the parts the family edits out -- what it actually felt like to be handed a destiny before she could talk. Edda writes it down exactly as given and tells her that's the first honest account of a prophecy she's ever gotten, since every other one she's recorded came pre-smoothed by whoever was reciting it. Solveig doesn't stop performing the official version when it's asked for. She does, for the first time, have an unofficial one on record somewhere that isn't just hers to carry alone.</t>
        </is>
      </c>
      <c r="I121" s="17" t="inlineStr">
        <is>
          <t>Both signs reused verbatim (Solveig=Vessel from Brandt/Solveig, Edda=Maiden from Waldrada/Edda). Maiden's virtue ('notices the discrepancy nobody else did') applied directly to Vessel's failure mode ('belongs to everyone and therefore to nobody') -- catching that even Solveig's own account of herself has been edited for an audience. Platonic chain, capped at A.</t>
        </is>
      </c>
    </row>
    <row r="122">
      <c r="A122" s="17" t="inlineStr">
        <is>
          <t>sup_solveig_anselm</t>
        </is>
      </c>
      <c r="B122" s="17" t="inlineStr">
        <is>
          <t>u_solveig</t>
        </is>
      </c>
      <c r="C122" s="17" t="inlineStr">
        <is>
          <t>u_anselm</t>
        </is>
      </c>
      <c r="D122" s="17" t="inlineStr">
        <is>
          <t>sgn_vessel</t>
        </is>
      </c>
      <c r="E122" s="17" t="inlineStr">
        <is>
          <t>sgn_fishes</t>
        </is>
      </c>
      <c r="F122" s="17" t="inlineStr">
        <is>
          <t>no</t>
        </is>
      </c>
      <c r="G122" s="17" t="inlineStr">
        <is>
          <t>drafted</t>
        </is>
      </c>
      <c r="H122" s="17" t="inlineStr">
        <is>
          <t>C: Anselm asks what the family prophecy actually says. Solveig tells him it isn't for telling. He says he isn't asking to know it; he's asking how it feels to carry a certainty when he carries none. B: Solveig admits certainty is heavier than it looks -- nobody ever asks whether she wants it, only whether she will deliver it. Anselm says doubt is lighter but has no floor: nothing to stand on when the ground moves. A: They trade. She gives him one fixed thing: a line that isn't about the future at all, only about the family's promise to keep a lamp lit. He gives her one honest caveat: she doesn't know the prophecy will come true; her family only knows that they believe it, and those are different things. Neither is comforted. Both are somewhat less alone with the weight they were handed.</t>
        </is>
      </c>
      <c r="I122" s="17" t="inlineStr">
        <is>
          <t>Both signs reused verbatim (Solveig=Vessel from Brandt/Solveig, Anselm=Fishes from Tancred/Anselm). Both assembly-route. Vessel's inherited certainty and Fishes' dissolved certainty traded rather than reconciled. Platonic chain, capped at A.</t>
        </is>
      </c>
    </row>
    <row r="123">
      <c r="A123" s="17" t="inlineStr">
        <is>
          <t>sup_solveig_kheldar</t>
        </is>
      </c>
      <c r="B123" s="17" t="inlineStr">
        <is>
          <t>u_solveig</t>
        </is>
      </c>
      <c r="C123" s="17" t="inlineStr">
        <is>
          <t>u_kheldar</t>
        </is>
      </c>
      <c r="D123" s="17" t="inlineStr">
        <is>
          <t>sgn_vessel</t>
        </is>
      </c>
      <c r="E123" s="17" t="inlineStr">
        <is>
          <t>sgn_scorpion</t>
        </is>
      </c>
      <c r="F123" s="17" t="inlineStr">
        <is>
          <t>no</t>
        </is>
      </c>
      <c r="G123" s="17" t="inlineStr">
        <is>
          <t>drafted</t>
        </is>
      </c>
      <c r="H123" s="17" t="inlineStr">
        <is>
          <t>C: Kheldar tries to trade in what Solveig's family prophesies, and she tells him she knows nothing usable. He doesn't believe her. B: She says she can't lie in a way that makes money. He has never met someone unwilling to sell a gift, and says so. She says the gift isn't hers to sell. He says he hasn't owned anything outright in years. A: They trade one true thing each, neither of them sellable. Solveig tells him what the lamp in the family promise is for. Kheldar tells her what he did with his first debt. Both keep the other's, and neither puts a price on it.</t>
        </is>
      </c>
      <c r="I123" s="17" t="inlineStr">
        <is>
          <t>Both signs reused verbatim (Solveig=Vessel from Brandt/Solveig, Kheldar=Scorpion from Kheldar/Kest). Solveig is assembly; Kheldar is route 'both'. Vessel's inherited gift and Scorpion's leverage economy meet at the one thing neither can monetize. Platonic chain, capped at A.</t>
        </is>
      </c>
    </row>
    <row r="124">
      <c r="A124" s="17" t="inlineStr">
        <is>
          <t>sup_solveig_dietmar</t>
        </is>
      </c>
      <c r="B124" s="17" t="inlineStr">
        <is>
          <t>u_solveig</t>
        </is>
      </c>
      <c r="C124" s="17" t="inlineStr">
        <is>
          <t>u_dietmar</t>
        </is>
      </c>
      <c r="D124" s="17" t="inlineStr">
        <is>
          <t>sgn_vessel</t>
        </is>
      </c>
      <c r="E124" s="17" t="inlineStr">
        <is>
          <t>sgn_lion</t>
        </is>
      </c>
      <c r="F124" s="17" t="inlineStr">
        <is>
          <t>no</t>
        </is>
      </c>
      <c r="G124" s="17" t="inlineStr">
        <is>
          <t>drafted</t>
        </is>
      </c>
      <c r="H124" s="17" t="inlineStr">
        <is>
          <t>C: Dietmar assumes Solveig, as a prophecy family's daughter, wants the pageantry and treats her with ceremony. Solveig assumes Dietmar, as a hero of the revolution, expects to be treated as a ballad. Both bristle. B: They compare which is heavier. Dietmar says a legend at least ends. Solveig says a legend gets told when the teller wants; a prophecy gets told to her, whether she wants it or not. Neither wins. A: Each admits envying the other's burden -- his has a story he chose to be in once; hers never had a first page. They make a pact: one hour a day they're only themselves, no ballad, no prophecy, no ceremony. It turns out to be the hardest hour either of them keeps, and neither breaks it.</t>
        </is>
      </c>
      <c r="I124" s="17" t="inlineStr">
        <is>
          <t>Both signs reused verbatim (Solveig=Vessel from Brandt/Solveig, Dietmar=Lion from Dietmar/Torvald). Cross-route (assembly/diadem), post-convergence. Two people raised inside a story bigger than themselves, one chosen and one inherited. Platonic chain, capped at A.</t>
        </is>
      </c>
    </row>
    <row r="125">
      <c r="A125" s="17" t="inlineStr">
        <is>
          <t>sup_solveig_torvald</t>
        </is>
      </c>
      <c r="B125" s="17" t="inlineStr">
        <is>
          <t>u_solveig</t>
        </is>
      </c>
      <c r="C125" s="17" t="inlineStr">
        <is>
          <t>u_torvald</t>
        </is>
      </c>
      <c r="D125" s="17" t="inlineStr">
        <is>
          <t>sgn_vessel</t>
        </is>
      </c>
      <c r="E125" s="17" t="inlineStr">
        <is>
          <t>sgn_crab</t>
        </is>
      </c>
      <c r="F125" s="17" t="inlineStr">
        <is>
          <t>no</t>
        </is>
      </c>
      <c r="G125" s="17" t="inlineStr">
        <is>
          <t>drafted</t>
        </is>
      </c>
      <c r="H125" s="17" t="inlineStr">
        <is>
          <t>C: Solveig's courier route takes her past Torvald's post regularly enough that she starts dropping the family's spare bread there without being asked; Torvald, who never requests anything, doesn't know how to refuse a gift nobody's making him justify. B: Solveig admits the bread isn't really charity -- it's practice, the one part of the prophecy's constant giving she gets to choose the target of herself, instead of the family choosing it for her. Torvald, who has spent his whole remaining service giving to an order that can't receive it anymore, recognizes someone else discovering what it means to actually choose where the giving goes. A: Torvald tells her plainly that a gift someone actually chose to give is worth more than any amount handed down as obligation, his own service included -- he'd give anything to have chosen even one act of it freely instead of all of it being duty. Solveig, hearing her own small act of choice named as something rare rather than trivial, keeps bringing the bread, and starts telling him, each time, that it's not for the post, it's for him specifically. It's the first gift either of them has given or received that wasn't inherited from somewhere else.</t>
        </is>
      </c>
      <c r="I125" s="17" t="inlineStr">
        <is>
          <t>Both signs reused verbatim (Solveig=Vessel from Brandt/Solveig, Torvald=Crab from Dietmar/Torvald). Vessel's failure mode ('belongs to everyone and therefore to nobody') practicing its way toward a chosen, specific act of giving, met by Crab's own duty-bound giving finally naming what it's missing: choice. Platonic chain, capped at A.</t>
        </is>
      </c>
    </row>
    <row r="126">
      <c r="A126" s="17" t="inlineStr">
        <is>
          <t>sup_solveig_rinsa</t>
        </is>
      </c>
      <c r="B126" s="17" t="inlineStr">
        <is>
          <t>u_solveig</t>
        </is>
      </c>
      <c r="C126" s="17" t="inlineStr">
        <is>
          <t>u_rinsa</t>
        </is>
      </c>
      <c r="D126" s="17" t="inlineStr">
        <is>
          <t>sgn_vessel</t>
        </is>
      </c>
      <c r="E126" s="17" t="inlineStr">
        <is>
          <t>sgn_vessel</t>
        </is>
      </c>
      <c r="F126" s="17" t="inlineStr">
        <is>
          <t>no</t>
        </is>
      </c>
      <c r="G126" s="17" t="inlineStr">
        <is>
          <t>drafted</t>
        </is>
      </c>
      <c r="H126" s="17" t="inlineStr">
        <is>
          <t>C: Solveig, curious what an actual oracle does with prophecy once it's spoken, asks Rinsa what happens to the answers people carry back up. Rinsa's answer -- she doesn't keep track, it was never hers to keep -- unsettles Solveig more than a mystical one would have. B: Rinsa notices Solveig flinch at the word 'carry' and asks what she's carrying that isn't a question. Solveig admits her whole family's prophecy was never asked, either -- it was handed to her already answered, and she's spent her life being the vessel for a message she didn't get to receive fresh. A: Rinsa, who pours herself out professionally and has never once needed the customer's question to matter to her personally, tells Solveig the difference that's been eating her without a name: Rinsa chose the emptying, every time, at the door, and can walk back out of it; Solveig was filled before she could choose anything. Solveig, hearing her own condition named by someone who does it on purpose and still keeps a self underneath, asks the only useful question left: how. Rinsa doesn't have a clean answer. She offers to find out with her, which is the first time either Vessel's been asked to keep something instead of pouring it out.</t>
        </is>
      </c>
      <c r="I126" s="17" t="inlineStr">
        <is>
          <t>Both units already carry the Vessel sign from their own established chains (Solveig from Brandt/Solveig, Rinsa from her own units row / Rinsa/Kest) -- deliberately paired as a mirror rather than avoided: two Vessels, argued as genuinely distinct (Solveig's family-inherited emptying vs Rinsa's chosen, professional one), with the mirroring itself as the chain's actual subject rather than a coincidence to write around. Platonic chain, capped at A.</t>
        </is>
      </c>
    </row>
    <row r="127">
      <c r="A127" s="17" t="inlineStr">
        <is>
          <t>sup_solveig_kest</t>
        </is>
      </c>
      <c r="B127" s="17" t="inlineStr">
        <is>
          <t>u_solveig</t>
        </is>
      </c>
      <c r="C127" s="17" t="inlineStr">
        <is>
          <t>u_kest</t>
        </is>
      </c>
      <c r="D127" s="17" t="inlineStr">
        <is>
          <t>sgn_vessel</t>
        </is>
      </c>
      <c r="E127" s="17" t="inlineStr">
        <is>
          <t>sgn_twins</t>
        </is>
      </c>
      <c r="F127" s="17" t="inlineStr">
        <is>
          <t>no</t>
        </is>
      </c>
      <c r="G127" s="17" t="inlineStr">
        <is>
          <t>drafted</t>
        </is>
      </c>
      <c r="H127" s="17" t="inlineStr">
        <is>
          <t>C: Kest, casing a delivery Solveig's about to make out of old habit, gets caught before she even decides whether to actually take anything. Solveig, used to being watched by people with an agenda, finds being cased by someone still arguing with herself almost restful by comparison. B: Kest asks how Solveig stands always being watched, expected, accounted for; Solveig admits she doesn't really stand it, she's just never had the option to be anything else. Kest, whose whole life is options she argues herself out of, doesn't know what to say to someone who never had any to argue about in the first place. A: Solveig admits she envies the arguing, actually -- even a bad option chosen freely sounds better than a good one handed down. Kest, still withholding her real reason for the double-voiced habit, offers something close to honest: the arguing isn't really freedom either, it just feels like it from outside. Neither trades places. They do agree, quietly, that the other's cage looks better from the wrong angle, and that's almost a comfort -- proof that neither one's imagining the whole problem.</t>
        </is>
      </c>
      <c r="I127" s="17" t="inlineStr">
        <is>
          <t>Solveig=Vessel reused from Brandt/Solveig. Kest's sign (the Twins) is her own already-stated sign, reused verbatim. Vessel's failure mode (inherited, always expected) set against Twins' failure mode (won't commit while a better argument exists) -- inherited certainty envying earned indecision, and vice versa. Platonic chain, capped at A.</t>
        </is>
      </c>
    </row>
    <row r="128">
      <c r="A128" s="17" t="inlineStr">
        <is>
          <t>sup_gunnar_edda</t>
        </is>
      </c>
      <c r="B128" s="17" t="inlineStr">
        <is>
          <t>u_gunnar</t>
        </is>
      </c>
      <c r="C128" s="17" t="inlineStr">
        <is>
          <t>u_edda</t>
        </is>
      </c>
      <c r="D128" s="17" t="inlineStr">
        <is>
          <t>sgn_goat</t>
        </is>
      </c>
      <c r="E128" s="17" t="inlineStr">
        <is>
          <t>sgn_maiden</t>
        </is>
      </c>
      <c r="F128" s="17" t="inlineStr">
        <is>
          <t>yes</t>
        </is>
      </c>
      <c r="G128" s="17" t="inlineStr">
        <is>
          <t>drafted</t>
        </is>
      </c>
      <c r="H128" s="17" t="inlineStr">
        <is>
          <t>C: Edda's recitations keep getting Gunnar's own hunting stories wrong in small, specific ways. He corrects her once, gruffly, expecting that to be the end of it. B: Edda keeps coming back for more corrections -- not because the poem needs to be accurate, but because she's cataloguing which details he insists on, and they turn out to be the parts he actually cares about, not the ones that make the best verse. A: Gunnar admits he doesn't care whether the recitation is accurate for its own sake; he cares that someone still bothers to ask a huntsman his age which parts of his life were real. Edda, whose whole craft is preserving things exactly as they were before they're gone, tells him the corrections were never charity -- the record is better for them, and so is she. S (romance): Gunnar stops treating her questions as an old man being humored; Edda gets a source who argues with her draft instead of accepting whatever she writes -- the collaboration neither expected to need turns out to be the one that lasts.</t>
        </is>
      </c>
      <c r="I128" s="17" t="inlineStr">
        <is>
          <t>Gunnar=Goat is new, off his own note ('old huntsman; crossbow-certified' -- decades of solitary, unglamorous, exacting work, the Goat's own virtue read as sustained craft rather than Tancred's institutional-climb version of the same sign). Edda=Maiden reused from the Waldrada/Edda chain above -- same unit, same sign, not reassigned.</t>
        </is>
      </c>
    </row>
    <row r="129">
      <c r="A129" s="17" t="inlineStr">
        <is>
          <t>sup_gunnar_anselm</t>
        </is>
      </c>
      <c r="B129" s="17" t="inlineStr">
        <is>
          <t>u_gunnar</t>
        </is>
      </c>
      <c r="C129" s="17" t="inlineStr">
        <is>
          <t>u_anselm</t>
        </is>
      </c>
      <c r="D129" s="17" t="inlineStr">
        <is>
          <t>sgn_goat</t>
        </is>
      </c>
      <c r="E129" s="17" t="inlineStr">
        <is>
          <t>sgn_fishes</t>
        </is>
      </c>
      <c r="F129" s="17" t="inlineStr">
        <is>
          <t>no</t>
        </is>
      </c>
      <c r="G129" s="17" t="inlineStr">
        <is>
          <t>drafted</t>
        </is>
      </c>
      <c r="H129" s="17" t="inlineStr">
        <is>
          <t>C: Anselm, doctrine gone loose with doubt, asks Gunnar how a huntsman squares killing game with whatever faith he keeps. Gunnar's answer is short: he doesn't keep one, and the game doesn't need him to. B: Anselm presses -- surely decades of it wears a mark on a man -- and Gunnar admits it does, just not a doctrinal one; he's just gotten exact about which kills are necessary and which aren't, and stopped needing a theology to tell him the difference. Anselm, whose whole crisis is that doctrine's stopped telling him the difference either, hears something like an answer he wasn't expecting from a huntsman. A: Gunnar tells him plainly that forty years of exactness is its own kind of faith, whatever you call it, and Anselm's caveats might be the same thing arriving from the other direction -- not a faith collapsing, a faith getting exact. Anselm, who's spent the whole crisis assuming the doubt was failure, takes the reframe seriously for the first time: not a theology dissolving, a theology narrowing down to what actually holds. Neither converts the other. Gunnar gets a monk who stops asking him for absolution he never needed; Anselm gets a model for what exactness looks like without a doctrine attached.</t>
        </is>
      </c>
      <c r="I129" s="17" t="inlineStr">
        <is>
          <t>Both signs reused verbatim (Gunnar=Goat from Gunnar/Edda, Anselm=Fishes from Tancred/Anselm). Goat's virtue (sustained, exacting, unglamorous craft) offered as an alternate model to Fishes' failure mode ('understands the enemy too well to fight them') -- exactness without doctrine as an answer to doctrine dissolving into ambivalence. Platonic chain, capped at A.</t>
        </is>
      </c>
    </row>
    <row r="130">
      <c r="A130" s="17" t="inlineStr">
        <is>
          <t>sup_gunnar_kheldar</t>
        </is>
      </c>
      <c r="B130" s="17" t="inlineStr">
        <is>
          <t>u_gunnar</t>
        </is>
      </c>
      <c r="C130" s="17" t="inlineStr">
        <is>
          <t>u_kheldar</t>
        </is>
      </c>
      <c r="D130" s="17" t="inlineStr">
        <is>
          <t>sgn_goat</t>
        </is>
      </c>
      <c r="E130" s="17" t="inlineStr">
        <is>
          <t>sgn_scorpion</t>
        </is>
      </c>
      <c r="F130" s="17" t="inlineStr">
        <is>
          <t>no</t>
        </is>
      </c>
      <c r="G130" s="17" t="inlineStr">
        <is>
          <t>drafted</t>
        </is>
      </c>
      <c r="H130" s="17" t="inlineStr">
        <is>
          <t>C: Kheldar, scouting who on the roster might be useful to know, tries to place Gunnar and can't -- no debts, no ambitions, no visible angle, just a man who does his job and goes home. He asks Gunnar outright what he actually wants, expecting the answer to reveal the angle. B: Gunnar's answer -- nothing Kheldar's got to offer -- isn't evasion, it's just true, and it unsettles Kheldar more than a lie would have. Gunnar, curious in turn, asks what Kheldar actually wants, and gets an answer that surprises them both: to stop needing to find everyone's angle, just once, and not have it cost him anything to relax. A: Gunnar tells him plainly that not needing anything from someone might be the closest he can offer to that -- there's nothing to extract from a conversation with a huntsman who doesn't want in on the smuggling and doesn't want him caught either, just company on a quiet watch. Kheldar takes him up on it, warily, and finds the quiet harder to sit in than any negotiation -- and, eventually, easier. Neither becomes the other's angle. That turns out to be the whole point.</t>
        </is>
      </c>
      <c r="I130" s="17" t="inlineStr">
        <is>
          <t>Both signs reused verbatim (Gunnar=Goat from Gunnar/Edda, Kheldar=Scorpion from Kheldar/Kest). Goat's own lack of ambition or debt makes him the one person Scorpion's whole leverage-based method can't read -- not a puzzle to solve, just company with nothing at stake. Platonic chain, capped at A.</t>
        </is>
      </c>
    </row>
    <row r="131">
      <c r="A131" s="17" t="inlineStr">
        <is>
          <t>sup_gunnar_dietmar</t>
        </is>
      </c>
      <c r="B131" s="17" t="inlineStr">
        <is>
          <t>u_gunnar</t>
        </is>
      </c>
      <c r="C131" s="17" t="inlineStr">
        <is>
          <t>u_dietmar</t>
        </is>
      </c>
      <c r="D131" s="17" t="inlineStr">
        <is>
          <t>sgn_goat</t>
        </is>
      </c>
      <c r="E131" s="17" t="inlineStr">
        <is>
          <t>sgn_lion</t>
        </is>
      </c>
      <c r="F131" s="17" t="inlineStr">
        <is>
          <t>no</t>
        </is>
      </c>
      <c r="G131" s="17" t="inlineStr">
        <is>
          <t>drafted</t>
        </is>
      </c>
      <c r="H131" s="17" t="inlineStr">
        <is>
          <t>C: Gunnar, sharpening a bolt as usual, tells Dietmar plainly he's never heard of him -- the revolution, the legend, none of it reached an assembly huntsman's ears out on the old border. Dietmar, used to being recognized everywhere in diadem circles, finds the anonymity almost refreshing and almost insulting in equal measure. B: Dietmar admits, once the insult wears off, that being unrecognized here is the first honest read he's gotten on whether the legend still holds up without the legend attached -- and it mostly does, which surprises him. Gunnar, who has spent his whole career being competent without being known for it, tells him that's just what the work is like for most people; Dietmar's the unusual one, not Gunnar. A: Gunnar admits he's never once needed anyone to know what he can do, only that it gets done, and asks Dietmar honestly whether the being-seen part was ever actually about the revolution or just something he picked up along the way and never put down. Dietmar doesn't have a clean answer, but for the first time he says he doesn't need one -- a huntsman nobody's heard of just did him the favor of being competent, unbothered, and entirely unimpressed, and it's the most useful he's felt in the whole obsolescence arc.</t>
        </is>
      </c>
      <c r="I131" s="17" t="inlineStr">
        <is>
          <t>Both signs reused verbatim (Gunnar=Goat from Gunnar/Edda, Dietmar=Lion from Dietmar/Torvald). Cross-route (assembly/diadem). Goat's virtue (unglamorous work, no audience required) as the direct counter-example to Lion's failure mode ('cannot take a demotion gracefully') -- competence that never needed witnessing in the first place. Platonic chain, capped at A.</t>
        </is>
      </c>
    </row>
    <row r="132">
      <c r="A132" s="17" t="inlineStr">
        <is>
          <t>sup_gunnar_torvald</t>
        </is>
      </c>
      <c r="B132" s="17" t="inlineStr">
        <is>
          <t>u_gunnar</t>
        </is>
      </c>
      <c r="C132" s="17" t="inlineStr">
        <is>
          <t>u_torvald</t>
        </is>
      </c>
      <c r="D132" s="17" t="inlineStr">
        <is>
          <t>sgn_goat</t>
        </is>
      </c>
      <c r="E132" s="17" t="inlineStr">
        <is>
          <t>sgn_crab</t>
        </is>
      </c>
      <c r="F132" s="17" t="inlineStr">
        <is>
          <t>no</t>
        </is>
      </c>
      <c r="G132" s="17" t="inlineStr">
        <is>
          <t>drafted</t>
        </is>
      </c>
      <c r="H132" s="17" t="inlineStr">
        <is>
          <t>C: The assembly's two oldest hands size each other up across a training yard -- a huntsman who's outlasted three commanding officers and a knight who's outlasted his entire order. B: Gunnar, sharpening a crossbow bolt with more attention than it needs, asks Torvald outright how he keeps showing up to guard people for an order that isn't there to order him to. Torvald's answer is short: someone has to, and he's the only one left who remembers how. A: Gunnar admits he's not sure his own decades of solitary, exacting work have added up to anything an army needs, just a very good aim and no one left to impress with it. Torvald tells him that's the wrong measure -- an order dies, the standard it kept doesn't have to, and Gunnar's kept his own standard for longer without anyone watching than Torvald's own men managed with a whole chapel behind them. Two old men who assumed nobody was still counting find out they've both been counted.</t>
        </is>
      </c>
      <c r="I132" s="17" t="inlineStr">
        <is>
          <t>Gunnar=Goat reused from Gunnar/Edda. Torvald=Crab reused from Dietmar/Torvald above -- same unit, same sign. Both assembly-route, both the roster's oldest recruitable veterans outside the jagen pair itself. Platonic chain, capped at A.</t>
        </is>
      </c>
    </row>
    <row r="133">
      <c r="A133" s="17" t="inlineStr">
        <is>
          <t>sup_gunnar_rinsa</t>
        </is>
      </c>
      <c r="B133" s="17" t="inlineStr">
        <is>
          <t>u_gunnar</t>
        </is>
      </c>
      <c r="C133" s="17" t="inlineStr">
        <is>
          <t>u_rinsa</t>
        </is>
      </c>
      <c r="D133" s="17" t="inlineStr">
        <is>
          <t>sgn_goat</t>
        </is>
      </c>
      <c r="E133" s="17" t="inlineStr">
        <is>
          <t>sgn_vessel</t>
        </is>
      </c>
      <c r="F133" s="17" t="inlineStr">
        <is>
          <t>no</t>
        </is>
      </c>
      <c r="G133" s="17" t="inlineStr">
        <is>
          <t>drafted</t>
        </is>
      </c>
      <c r="H133" s="17" t="inlineStr">
        <is>
          <t>C: Gunnar, curious about a profession stranger than his own, asks Rinsa how she tracks a customer's nerve on the way down -- what she's watching for. Rinsa's answer sounds uncannily like his own hunting method: not the person, the pattern; not this trip, the hundreds before it. B: Rinsa admits the comparison's apt -- both of them do the same unglamorous, exacting thing for decades, alone, and get good at it precisely because nobody's there to perform for. Gunnar, whose whole craft has never once needed an audience, recognizes a kindred discipline in a job that looks nothing like his own from the outside. A: Gunnar admits the part nobody asks him about is what forty years of that solitary exactness costs -- not the skill, the isolation the skill requires. Rinsa, who pours herself out for strangers professionally and has never had the cost of it named back to her by someone doing the same trade from a different direction, tells him plainly: it costs exactly what he thinks, and it's still worth doing right. Two people who do the same private, exacting work in completely different fields end up being the only ones who actually understand what the other one does all day.</t>
        </is>
      </c>
      <c r="I133" s="17" t="inlineStr">
        <is>
          <t>Gunnar=Goat reused from Gunnar/Edda. Rinsa's own already-stated sign, the Vessel, reused verbatim. Goat's virtue (unglamorous, solitary, exacting craft) recognized directly in Vessel's own professional practice (the descent, done hundreds of times, for strangers) -- two very different jobs built on the same discipline. Platonic chain, capped at A.</t>
        </is>
      </c>
    </row>
    <row r="134">
      <c r="A134" s="17" t="inlineStr">
        <is>
          <t>sup_gunnar_kest</t>
        </is>
      </c>
      <c r="B134" s="17" t="inlineStr">
        <is>
          <t>u_gunnar</t>
        </is>
      </c>
      <c r="C134" s="17" t="inlineStr">
        <is>
          <t>u_kest</t>
        </is>
      </c>
      <c r="D134" s="17" t="inlineStr">
        <is>
          <t>sgn_goat</t>
        </is>
      </c>
      <c r="E134" s="17" t="inlineStr">
        <is>
          <t>sgn_twins</t>
        </is>
      </c>
      <c r="F134" s="17" t="inlineStr">
        <is>
          <t>no</t>
        </is>
      </c>
      <c r="G134" s="17" t="inlineStr">
        <is>
          <t>drafted</t>
        </is>
      </c>
      <c r="H134" s="17" t="inlineStr">
        <is>
          <t>C: Gunnar catches Kest casing the assembly armory with the flat, professional patience of someone who's tracked plenty of things smarter than a startled deer. He doesn't report her. He tells her she's good, but not as good as she thinks, and offers to prove it. B: Kest, insulted and curious in equal measure, takes him up on it -- a stalking contest, her against his decades of reading a treeline. She loses, badly, and can't figure out how he read her approach before she'd committed to it. A: Gunnar tells her the trick isn't the tracking, it's refusing to move until the argument in his own head about the best approach has actually settled -- something he's had forty years to get right and she's still doing live, mid-job, which is why she hesitates at the worst moments. Kest admits that's exactly her problem, and exactly why she's never been caught taking something she meant to walk away from and never quite has. Gunnar doesn't offer to fix it. He offers to keep hunting with her until the two voices in her head learn his patience instead of each other's noise.</t>
        </is>
      </c>
      <c r="I134" s="17" t="inlineStr">
        <is>
          <t>Both signs reused verbatim (Gunnar=Goat from Gunnar/Edda, Kest=Twins her own already-stated sign). A hunter's patient single-mindedness set against a thief's arguing-both-sides indecision -- Goat's virtue (sustained, exacting craft) as the literal fix for the Twins' failure mode (won't commit while a better argument exists). Platonic chain, capped at A.</t>
        </is>
      </c>
    </row>
    <row r="135">
      <c r="A135" s="17" t="inlineStr">
        <is>
          <t>sup_edda_anselm</t>
        </is>
      </c>
      <c r="B135" s="17" t="inlineStr">
        <is>
          <t>u_edda</t>
        </is>
      </c>
      <c r="C135" s="17" t="inlineStr">
        <is>
          <t>u_anselm</t>
        </is>
      </c>
      <c r="D135" s="17" t="inlineStr">
        <is>
          <t>sgn_maiden</t>
        </is>
      </c>
      <c r="E135" s="17" t="inlineStr">
        <is>
          <t>sgn_fishes</t>
        </is>
      </c>
      <c r="F135" s="17" t="inlineStr">
        <is>
          <t>no</t>
        </is>
      </c>
      <c r="G135" s="17" t="inlineStr">
        <is>
          <t>drafted</t>
        </is>
      </c>
      <c r="H135" s="17" t="inlineStr">
        <is>
          <t>C: Edda wants Anselm's blessings recited word for word, every caveat included, for the record; Anselm finds this faintly absurd -- nobody preserves the hedge, they preserve the promise. B: Edda insists the hedge is the actual content -- a monk's caveats are the only honest theology on record anywhere in her collection, and she's not going to be the one who edits him into false certainty for posterity. Anselm, who's spent the whole crisis assuming his doubt makes him a worse record than a confident man, hears his own uncertainty called valuable for the first time. A: Anselm admits he's been quietly grateful someone's writing the doubt down at all, since it means it existed, whatever happens to his faith after. Edda tells him plainly: the record doesn't care if he resolves it, only that it's true when it's written -- and his caveats are more true than most of what she's had to preserve from men who never doubted anything in their lives. Anselm stops apologizing for the hedges. Edda gets the most honestly-transcribed theology in her whole collection.</t>
        </is>
      </c>
      <c r="I135" s="17" t="inlineStr">
        <is>
          <t>Both signs reused verbatim (Edda=Maiden from Waldrada/Edda, Anselm=Fishes from Tancred/Anselm). Both assembly-route. Direct tie: Edda's own note ('village reciter') as the record-keeper who values Anselm's own note ('theology barometer') -- his doubt-riddled caveats -- as the truest theology in her whole collection, rather than something to be edited into false confidence. Platonic chain, capped at A.</t>
        </is>
      </c>
    </row>
    <row r="136">
      <c r="A136" s="17" t="inlineStr">
        <is>
          <t>sup_edda_kheldar</t>
        </is>
      </c>
      <c r="B136" s="17" t="inlineStr">
        <is>
          <t>u_edda</t>
        </is>
      </c>
      <c r="C136" s="17" t="inlineStr">
        <is>
          <t>u_kheldar</t>
        </is>
      </c>
      <c r="D136" s="17" t="inlineStr">
        <is>
          <t>sgn_maiden</t>
        </is>
      </c>
      <c r="E136" s="17" t="inlineStr">
        <is>
          <t>sgn_scorpion</t>
        </is>
      </c>
      <c r="F136" s="17" t="inlineStr">
        <is>
          <t>no</t>
        </is>
      </c>
      <c r="G136" s="17" t="inlineStr">
        <is>
          <t>drafted</t>
        </is>
      </c>
      <c r="H136" s="17" t="inlineStr">
        <is>
          <t>C: Edda wants Kheldar's story for the record -- smuggler-spy, unkillable, escapes everything -- and he politely declines to be recorded at all, on the professional grounds that a documented man is a traceable one. B: Edda points out she already has half his story from everyone else's accounts of him, badly, secondhand, and getting it wrong; if he won't correct the record, the record stays wrong, which she finds more insulting on his behalf than he seems to. Kheldar, who has never once cared what anyone thinks they know about him, is oddly needled by the idea of a bad, inaccurate account of himself outliving the accurate one nobody has. A: Kheldar strikes a deal, characteristically: he'll correct exactly the parts that are wrong, on the record, on the condition she never writes down where he actually is at the time of telling. Edda agrees, and gets the strangest, most carefully redacted true account in her whole collection -- accurate about everything except the one thing that would matter to anyone trying to catch him. It's the closest thing to being honestly known that Kheldar's ever allowed anyone.</t>
        </is>
      </c>
      <c r="I136" s="17" t="inlineStr">
        <is>
          <t>Both signs reused verbatim (Edda=Maiden from Waldrada/Edda, Kheldar=Scorpion from Kheldar/Kest). Direct tie: Edda's own note ('village reciter,' keeper of the record) applied to Kheldar's own note ('manifest discrepancy thread,' a man who exists to not be pinned down) -- the negotiation over what gets recorded is the whole chain. Platonic chain, capped at A.</t>
        </is>
      </c>
    </row>
    <row r="137">
      <c r="A137" s="17" t="inlineStr">
        <is>
          <t>sup_edda_dietmar</t>
        </is>
      </c>
      <c r="B137" s="17" t="inlineStr">
        <is>
          <t>u_edda</t>
        </is>
      </c>
      <c r="C137" s="17" t="inlineStr">
        <is>
          <t>u_dietmar</t>
        </is>
      </c>
      <c r="D137" s="17" t="inlineStr">
        <is>
          <t>sgn_maiden</t>
        </is>
      </c>
      <c r="E137" s="17" t="inlineStr">
        <is>
          <t>sgn_lion</t>
        </is>
      </c>
      <c r="F137" s="17" t="inlineStr">
        <is>
          <t>no</t>
        </is>
      </c>
      <c r="G137" s="17" t="inlineStr">
        <is>
          <t>drafted</t>
        </is>
      </c>
      <c r="H137" s="17" t="inlineStr">
        <is>
          <t>C: Edda wants Dietmar's account of the revolution for the record, the real one, not the version already circulating as legend. Dietmar gives her the legend anyway, out of old habit, and she calls him on the substitution immediately. B: Dietmar admits the legend is easier to tell because the real account doesn't have a shape yet that ends well -- he's still in it, still trying to be useful, and a record only really works once the story's finished. Edda tells him plainly that's not how any record she's ever kept actually works; half of them are unfinished, and the unfinished ones are usually the most honest. A: Dietmar gives her the real account -- not the revolution's, just his own, obsolescence and all, admitting he doesn't know yet whether the gate-holding deed will read as a last good chapter or a footnote nobody needed. Edda writes it down exactly as given, unfinished, and tells him that's precisely what makes it worth keeping: a legend already knows how it ends, a true record doesn't, and his is still being written whether he likes it or not.</t>
        </is>
      </c>
      <c r="I137" s="17" t="inlineStr">
        <is>
          <t>Both signs reused verbatim (Edda=Maiden from Waldrada/Edda, Dietmar=Lion from Dietmar/Torvald). Lion's failure mode ('cannot take a demotion gracefully') read as a preference for legend over an unfinished, unflattering true account; Maiden's virtue ('notices the discrepancy nobody else did') is the literal mechanism that catches him substituting one for the other. Platonic chain, capped at A.</t>
        </is>
      </c>
    </row>
    <row r="138">
      <c r="A138" s="17" t="inlineStr">
        <is>
          <t>sup_edda_torvald</t>
        </is>
      </c>
      <c r="B138" s="17" t="inlineStr">
        <is>
          <t>u_edda</t>
        </is>
      </c>
      <c r="C138" s="17" t="inlineStr">
        <is>
          <t>u_torvald</t>
        </is>
      </c>
      <c r="D138" s="17" t="inlineStr">
        <is>
          <t>sgn_maiden</t>
        </is>
      </c>
      <c r="E138" s="17" t="inlineStr">
        <is>
          <t>sgn_crab</t>
        </is>
      </c>
      <c r="F138" s="17" t="inlineStr">
        <is>
          <t>no</t>
        </is>
      </c>
      <c r="G138" s="17" t="inlineStr">
        <is>
          <t>drafted</t>
        </is>
      </c>
      <c r="H138" s="17" t="inlineStr">
        <is>
          <t>C: Edda wants to record the names of Torvald's whole order, the dead ones, properly, before nobody's left who remembers them accurately. Torvald gives her the list. She notices, reciting it back, that he's left one name off. B: Torvald admits the omission is deliberate -- one name he's not ready to say out loud yet, not because he's forgotten, because saying it makes the list final in a way he isn't prepared for. Edda tells him the record can wait; she's not in the business of forcing a discrepancy closed before its time. A: Torvald gives her the name eventually, weeks later, unprompted, once he's ready, and Edda adds it exactly where it belongs without comment on the wait. Torvald tells her that's the first time anyone's let him finish something on his own schedule instead of needing it finished for their own sake. Edda tells him that's the whole difference between a record and a demand -- one of them can actually wait for the truth.</t>
        </is>
      </c>
      <c r="I138" s="17" t="inlineStr">
        <is>
          <t>Both signs reused verbatim (Edda=Maiden from Waldrada/Edda, Torvald=Crab from Dietmar/Torvald). Maiden's virtue ('notices the discrepancy nobody else did') deliberately not forced to closure, respecting Crab's own pace on a wound that's still his to carry. Platonic chain, capped at A.</t>
        </is>
      </c>
    </row>
    <row r="139">
      <c r="A139" s="17" t="inlineStr">
        <is>
          <t>sup_edda_rinsa</t>
        </is>
      </c>
      <c r="B139" s="17" t="inlineStr">
        <is>
          <t>u_edda</t>
        </is>
      </c>
      <c r="C139" s="17" t="inlineStr">
        <is>
          <t>u_rinsa</t>
        </is>
      </c>
      <c r="D139" s="17" t="inlineStr">
        <is>
          <t>sgn_maiden</t>
        </is>
      </c>
      <c r="E139" s="17" t="inlineStr">
        <is>
          <t>sgn_vessel</t>
        </is>
      </c>
      <c r="F139" s="17" t="inlineStr">
        <is>
          <t>no</t>
        </is>
      </c>
      <c r="G139" s="17" t="inlineStr">
        <is>
          <t>drafted</t>
        </is>
      </c>
      <c r="H139" s="17" t="inlineStr">
        <is>
          <t>C: Edda wants to record what the oracle actually says, verbatim, for the archive; Rinsa tells her that's not how it works -- the oracle doesn't say anything to her, only to the person who descended, and she's just the one who leads them down and back. B: Edda, undeterred, asks to record Rinsa's part instead -- the leading, the waiting, the hundreds of times. Rinsa finds this stranger than being asked for the oracle's words; nobody's ever wanted the guide's account before, only the destination's. A: Rinsa gives it to her, plainly, without performance -- what the stairs feel like on the two-hundredth trip, how she tells if someone's about to lose their nerve, what she does with her own thoughts while she waits in the dark for a stranger's question to finish. Edda writes all of it down and tells her it's the first account in her whole collection of someone who does the actual carrying instead of just receiving what gets carried. Rinsa, who pours herself out for a living and has never once had any of it kept, finds out what it's like to have some of it kept anyway.</t>
        </is>
      </c>
      <c r="I139" s="17" t="inlineStr">
        <is>
          <t>Edda=Maiden reused from Waldrada/Edda. Rinsa's own already-stated sign, the Vessel, reused verbatim. Direct tie: Edda's own note ('village reciter,' the record-keeper) turned toward Rinsa's own note (the one unit who's actually descended) -- the first time anyone in the archive records the guide instead of the destination. Platonic chain, capped at A.</t>
        </is>
      </c>
    </row>
    <row r="140">
      <c r="A140" s="17" t="inlineStr">
        <is>
          <t>sup_edda_kest</t>
        </is>
      </c>
      <c r="B140" s="17" t="inlineStr">
        <is>
          <t>u_edda</t>
        </is>
      </c>
      <c r="C140" s="17" t="inlineStr">
        <is>
          <t>u_kest</t>
        </is>
      </c>
      <c r="D140" s="17" t="inlineStr">
        <is>
          <t>sgn_maiden</t>
        </is>
      </c>
      <c r="E140" s="17" t="inlineStr">
        <is>
          <t>sgn_twins</t>
        </is>
      </c>
      <c r="F140" s="17" t="inlineStr">
        <is>
          <t>no</t>
        </is>
      </c>
      <c r="G140" s="17" t="inlineStr">
        <is>
          <t>drafted</t>
        </is>
      </c>
      <c r="H140" s="17" t="inlineStr">
        <is>
          <t>C: Edda wants to record one of Kest's jobs for the archive -- an ordinary theft, properly documented, the kind of small history nobody else bothers to keep. Kest finds the request stranger than being caught. B: Edda explains she's not interested in judging the theft, just getting the account right -- who, what, why, the actual reasoning, not the moralized version. Kest, unused to anyone wanting her reasoning instead of just her guilt or innocence, gives it to her carefully, half-expecting a trap that never comes. A: Edda, reading the account back, notices the discrepancy immediately -- the reasoning doesn't fully explain the target, there's a gap Kest hasn't accounted for even to herself. Kest, cornered by the one thing she can't out-argue -- someone else's careful reading of her own story -- admits there's a piece she's not telling, and won't, not yet. Edda doesn't push. She records the account with the gap marked honestly as a gap, not papered over, and tells Kest some records stay incomplete a long time before they're ready to be finished -- that's not a flaw in the archive, it's just where this one is.</t>
        </is>
      </c>
      <c r="I140" s="17" t="inlineStr">
        <is>
          <t>Edda=Maiden reused from Waldrada/Edda. Kest's sign (the Twins) is her own already-stated sign, reused verbatim. Maiden's virtue ('notices the discrepancy nobody else did') brushes directly against Kest's own withheld reveal (her twin brother's grief, per her own note, 'never at recruitment... only once a support earns the reveal') -- this chain notices the gap without claiming it, consistent with that note's own instruction. Platonic chain, capped at A.</t>
        </is>
      </c>
    </row>
    <row r="141">
      <c r="A141" s="17" t="inlineStr">
        <is>
          <t>sup_anselm_kheldar</t>
        </is>
      </c>
      <c r="B141" s="17" t="inlineStr">
        <is>
          <t>u_anselm</t>
        </is>
      </c>
      <c r="C141" s="17" t="inlineStr">
        <is>
          <t>u_kheldar</t>
        </is>
      </c>
      <c r="D141" s="17" t="inlineStr">
        <is>
          <t>sgn_fishes</t>
        </is>
      </c>
      <c r="E141" s="17" t="inlineStr">
        <is>
          <t>sgn_scorpion</t>
        </is>
      </c>
      <c r="F141" s="17" t="inlineStr">
        <is>
          <t>no</t>
        </is>
      </c>
      <c r="G141" s="17" t="inlineStr">
        <is>
          <t>drafted</t>
        </is>
      </c>
      <c r="H141" s="17" t="inlineStr">
        <is>
          <t>C: Anselm, whose doctrine has dissolved into understanding every side of everything, tells Kheldar he can't even condemn smuggling anymore -- he sees exactly why the discrepancies exist and who they actually feed. Kheldar, who has never once needed anyone's absolution, finds this more unsettling than condemnation would have been. B: Kheldar admits, grudgingly, that being understood is worse for business than being judged -- judgment he can route around, understanding has nowhere to put the usual defenses. Anselm, whose whole crisis is that understanding everyone has cost him the ability to actually stand anywhere, recognizes a man discovering the same problem from the opposite side: too well understood is its own kind of exposure. A: Anselm admits he envies, slightly, a man who's never once needed to be understood to function; Kheldar admits, just as slightly, that being seen this clearly by someone with nothing to gain from it is the closest thing to being known he's let happen in years. Neither absolves the other of anything. Both leave the conversation less alone in a very specific, narrow way that neither one asked for and neither one minds.</t>
        </is>
      </c>
      <c r="I141" s="17" t="inlineStr">
        <is>
          <t>Both signs reused verbatim (Anselm=Fishes from Tancred/Anselm, Kheldar=Scorpion from Kheldar/Kest). Fishes' virtue ('understands the enemy too well to hate them') turned on a man whose whole trade depends on not being understood at all -- Scorpion's failure mode ('carries the grudge that keeps everyone honest') recontextualized as a man who's never had anyone hold him accountable without an angle. Platonic chain, capped at A.</t>
        </is>
      </c>
    </row>
    <row r="142">
      <c r="A142" s="17" t="inlineStr">
        <is>
          <t>sup_anselm_dietmar</t>
        </is>
      </c>
      <c r="B142" s="17" t="inlineStr">
        <is>
          <t>u_anselm</t>
        </is>
      </c>
      <c r="C142" s="17" t="inlineStr">
        <is>
          <t>u_dietmar</t>
        </is>
      </c>
      <c r="D142" s="17" t="inlineStr">
        <is>
          <t>sgn_fishes</t>
        </is>
      </c>
      <c r="E142" s="17" t="inlineStr">
        <is>
          <t>sgn_lion</t>
        </is>
      </c>
      <c r="F142" s="17" t="inlineStr">
        <is>
          <t>no</t>
        </is>
      </c>
      <c r="G142" s="17" t="inlineStr">
        <is>
          <t>drafted</t>
        </is>
      </c>
      <c r="H142" s="17" t="inlineStr">
        <is>
          <t>C: Dietmar asks Anselm to confirm that the revolution was righteous. Anselm gives him three caveats and a genuine admiration. Dietmar wants the first without the rest. B: He is angry. Anselm says the revolution was a thing people did, with reasons and costs, and that both are true. Dietmar has spent decades defending it as one and it has never occurred to him that it can be both. A: Dietmar asks for the true account and not the righteous one. Anselm gives it. Dietmar can bear it, because it is accurate, in a way the righteous version never was. Anselm says he is grateful someone can hear his caveats as a gift instead of an evasion.</t>
        </is>
      </c>
      <c r="I142" s="17" t="inlineStr">
        <is>
          <t>Both signs reused verbatim (Anselm=Fishes from Tancred/Anselm, Dietmar=Lion from Dietmar/Torvald). Cross-route (assembly/diadem), post-convergence. Fishes' understanding both sides meets Lion's need for a flattering account; the honest one turns out to be survivable. Platonic chain, capped at A.</t>
        </is>
      </c>
    </row>
    <row r="143">
      <c r="A143" s="17" t="inlineStr">
        <is>
          <t>sup_anselm_torvald</t>
        </is>
      </c>
      <c r="B143" s="17" t="inlineStr">
        <is>
          <t>u_anselm</t>
        </is>
      </c>
      <c r="C143" s="17" t="inlineStr">
        <is>
          <t>u_torvald</t>
        </is>
      </c>
      <c r="D143" s="17" t="inlineStr">
        <is>
          <t>sgn_fishes</t>
        </is>
      </c>
      <c r="E143" s="17" t="inlineStr">
        <is>
          <t>sgn_crab</t>
        </is>
      </c>
      <c r="F143" s="17" t="inlineStr">
        <is>
          <t>no</t>
        </is>
      </c>
      <c r="G143" s="17" t="inlineStr">
        <is>
          <t>drafted</t>
        </is>
      </c>
      <c r="H143" s="17" t="inlineStr">
        <is>
          <t>C: Anselm offers to say a requiem for Torvald's dead order. Torvald refuses. B: He says the order's rites had a fixed shape, and a hedged version of them would be an insult to men who never hedged anything. Anselm, who has hedged every prayer for a year, concedes the point. A: Anselm asks Torvald to teach him the order's rite exactly, word for word, and performs it with no caveats, as taught. Torvald says it was right. Anselm learns that exact repetition needs no belief behind it, only fidelity. He keeps the rite. Torvald has, for the first time since the plague, heard it said by someone else.</t>
        </is>
      </c>
      <c r="I143" s="17" t="inlineStr">
        <is>
          <t>Both signs reused verbatim (Anselm=Fishes from Tancred/Anselm, Torvald=Crab from Dietmar/Torvald). Both assembly-route. Crab's loyalty to a dead order finds a carrier in Fishes' dissolved doctrine, which is at least willing to repeat exactly. Platonic chain, capped at A.</t>
        </is>
      </c>
    </row>
    <row r="144">
      <c r="A144" s="17" t="inlineStr">
        <is>
          <t>sup_anselm_rinsa</t>
        </is>
      </c>
      <c r="B144" s="17" t="inlineStr">
        <is>
          <t>u_anselm</t>
        </is>
      </c>
      <c r="C144" s="17" t="inlineStr">
        <is>
          <t>u_rinsa</t>
        </is>
      </c>
      <c r="D144" s="17" t="inlineStr">
        <is>
          <t>sgn_fishes</t>
        </is>
      </c>
      <c r="E144" s="17" t="inlineStr">
        <is>
          <t>sgn_vessel</t>
        </is>
      </c>
      <c r="F144" s="17" t="inlineStr">
        <is>
          <t>no</t>
        </is>
      </c>
      <c r="G144" s="17" t="inlineStr">
        <is>
          <t>drafted</t>
        </is>
      </c>
      <c r="H144" s="17" t="inlineStr">
        <is>
          <t>C: Anselm, theology gone loose with doubt, wants to know what Rinsa actually saw down at the Throat -- not the oracle's answer, the descent itself. Rinsa, who's led hundreds of people down and up, finds the question almost quaint; everyone wants the answer, no one's ever asked about the stairs. B: Rinsa admits the stairs are the only honest part of the job -- the answer's whatever the customer needed to hear, but the dark is the same dark for everyone who goes down it. Anselm, whose whole crisis is that he understands too many sides of a question to condemn any of them cleanly, recognizes in her an authority that doesn't come from doctrine at all, just from having actually been there. A: Rinsa admits she's never told anyone what she believes is actually down there, because belief was never required for the job -- she pours out whatever the descent needs of her and keeps nothing back for herself, including her own certainty. Anselm offers the one thing his dissolved theology still has: he doesn't need her to believe anything to trust what she saw. It's the first support of her life where being asked wasn't also being asked to perform an answer.</t>
        </is>
      </c>
      <c r="I144" s="17" t="inlineStr">
        <is>
          <t>Both signs reused verbatim from their own established chains (Anselm=Fishes from Tancred/Anselm, Rinsa=Vessel from her own units row / the Rinsa/Kest chain). Direct thematic tie: Rinsa's own note calls her 'the only unit who has BEEN down there' regarding the Venerated's death, and Anselm's own note calls him a 'theology barometer' -- this chain is the one place a doctrinal crisis meets someone whose authority comes from experience, not doctrine, before the Act 3 question about the Venerated is ever asked. Platonic chain, capped at A.</t>
        </is>
      </c>
    </row>
    <row r="145">
      <c r="A145" s="17" t="inlineStr">
        <is>
          <t>sup_anselm_kest</t>
        </is>
      </c>
      <c r="B145" s="17" t="inlineStr">
        <is>
          <t>u_anselm</t>
        </is>
      </c>
      <c r="C145" s="17" t="inlineStr">
        <is>
          <t>u_kest</t>
        </is>
      </c>
      <c r="D145" s="17" t="inlineStr">
        <is>
          <t>sgn_fishes</t>
        </is>
      </c>
      <c r="E145" s="17" t="inlineStr">
        <is>
          <t>sgn_twins</t>
        </is>
      </c>
      <c r="F145" s="17" t="inlineStr">
        <is>
          <t>no</t>
        </is>
      </c>
      <c r="G145" s="17" t="inlineStr">
        <is>
          <t>drafted</t>
        </is>
      </c>
      <c r="H145" s="17" t="inlineStr">
        <is>
          <t>C: Anselm, doubting everything these days, watches Kest argue herself in and out of a decision in real time and asks if it's exhausting, living inside a debate that never fully resolves. Kest tells him it used to be two people arguing, not one -- which she doesn't explain further, and he doesn't push. B: Anselm admits his own doubt used to feel like a single voice losing an argument with itself; lately it's started to feel more like several voices, none of them his exactly, all equally convincing. Kest, recognizing the shape of that more than she lets on, tells him the multiple voices aren't necessarily a bad sign -- sometimes it just means more than one thing in you actually has a stake in the answer. A: Anselm asks, gently, whether that's been true for her too. Kest doesn't give him the whole answer, but gives him more than she's given almost anyone: yes, once, there were two people arguing, and now there's just her doing both parts, and she's never decided if that's grief or just what 's left. Anselm, whose whole practice is sitting in an unresolved multiplicity without forcing it into one voice, tells her she doesn't have to decide that either -- some arguments stay two-voiced a long time after the second voice is gone, and that's not something to fix.</t>
        </is>
      </c>
      <c r="I145" s="17" t="inlineStr">
        <is>
          <t>Anselm=Fishes reused from Tancred/Anselm. Kest's sign (the Twins) is her own already-stated sign, reused verbatim. This chain approaches the edge of Kest's withheld reveal (her twin brother's grief) more closely than most, but stops short of naming it outright, consistent with her own note that the reveal surfaces gradually across her support web and is 'never at recruitment' -- here it's Anselm's own doctrine of sitting in unresolved multiplicity that lets the gesture happen without forcing the confession. Platonic chain, capped at A.</t>
        </is>
      </c>
    </row>
    <row r="146">
      <c r="A146" s="17" t="inlineStr">
        <is>
          <t>sup_kheldar_dietmar</t>
        </is>
      </c>
      <c r="B146" s="17" t="inlineStr">
        <is>
          <t>u_kheldar</t>
        </is>
      </c>
      <c r="C146" s="17" t="inlineStr">
        <is>
          <t>u_dietmar</t>
        </is>
      </c>
      <c r="D146" s="17" t="inlineStr">
        <is>
          <t>sgn_scorpion</t>
        </is>
      </c>
      <c r="E146" s="17" t="inlineStr">
        <is>
          <t>sgn_lion</t>
        </is>
      </c>
      <c r="F146" s="17" t="inlineStr">
        <is>
          <t>no</t>
        </is>
      </c>
      <c r="G146" s="17" t="inlineStr">
        <is>
          <t>drafted</t>
        </is>
      </c>
      <c r="H146" s="17" t="inlineStr">
        <is>
          <t>C: Dietmar, who fought for the diadem's legitimacy before Kheldar was old enough to profit off it, wants to know how a man who serves no side at all sleeps at night. Kheldar's answer -- very well, thank you -- is not the confrontation Dietmar came for. B: Dietmar presses harder than the question deserves, and Kheldar, reading the real target, points out that a revolution fought for legitimacy and a smuggling trade fought for margin have the same actual output: both of them decide who gets to eat this winter, one of them just admits the profit motive out loud. Dietmar doesn't have a clean rebuttal. A: Dietmar admits what's actually eating him -- the revolution he bled for produced exactly the kind of grey, transactional peace Kheldar profits off of, and some nights that looks less like victory than like the thing they fought to prevent, just slower. Kheldar, who has made an entire life out of refusing to be anyone's evidence for a verdict, tells him the honest thing: the peace holding at all, ugly and profitable and unglamorous, is probably the only kind that was ever actually available to hold. Dietmar doesn't forgive him for being right. He does stop needling him about it, which from Dietmar is the same thing.</t>
        </is>
      </c>
      <c r="I146" s="17" t="inlineStr">
        <is>
          <t>Both signs reused verbatim (Kheldar=Scorpion from Kheldar/Kest, Dietmar=Lion from Dietmar/Torvald). Direct ideological friction: Dietmar's own note ('revolution-generation; obsolescence arc') as an idealist confronting the transactional peace Kheldar's own note ('manifest discrepancy thread') literally profits from -- neither convinces the other, which is the point. Platonic chain, capped at A.</t>
        </is>
      </c>
    </row>
    <row r="147">
      <c r="A147" s="17" t="inlineStr">
        <is>
          <t>sup_kheldar_torvald</t>
        </is>
      </c>
      <c r="B147" s="17" t="inlineStr">
        <is>
          <t>u_kheldar</t>
        </is>
      </c>
      <c r="C147" s="17" t="inlineStr">
        <is>
          <t>u_torvald</t>
        </is>
      </c>
      <c r="D147" s="17" t="inlineStr">
        <is>
          <t>sgn_scorpion</t>
        </is>
      </c>
      <c r="E147" s="17" t="inlineStr">
        <is>
          <t>sgn_crab</t>
        </is>
      </c>
      <c r="F147" s="17" t="inlineStr">
        <is>
          <t>no</t>
        </is>
      </c>
      <c r="G147" s="17" t="inlineStr">
        <is>
          <t>drafted</t>
        </is>
      </c>
      <c r="H147" s="17" t="inlineStr">
        <is>
          <t>C: Kheldar sees value in the seals and papers of Torvald's dead order and offers to buy them. Torvald says they are not for sale. Kheldar says everything is. B: Torvald tells him to name a price that brings one man back. Kheldar opens his mouth, closes it, and for once has no counter-offer. He says some debts can't be priced and he doesn't like being reminded. A: He offers something else, unpaid: to smuggle the order's last relics somewhere safe, out of a post that won't hold forever. Torvald agrees, and has them carried to the archive Edda keeps. Kheldar keeps no copy and asks for nothing. It is the first thing he has ever moved without keeping leverage on it, and he doesn't mention it to anyone.</t>
        </is>
      </c>
      <c r="I147" s="17" t="inlineStr">
        <is>
          <t>Both signs reused verbatim (Kheldar=Scorpion from Kheldar/Kest, Torvald=Crab from Dietmar/Torvald). Kheldar is route 'both'; Torvald is assembly. Scorpion's leverage habit refused at the one moment a debt cannot be priced; ties to the Edda/Torvald record chain. Platonic chain, capped at A.</t>
        </is>
      </c>
    </row>
    <row r="148">
      <c r="A148" s="17" t="inlineStr">
        <is>
          <t>sup_kheldar_rinsa</t>
        </is>
      </c>
      <c r="B148" s="17" t="inlineStr">
        <is>
          <t>u_kheldar</t>
        </is>
      </c>
      <c r="C148" s="17" t="inlineStr">
        <is>
          <t>u_rinsa</t>
        </is>
      </c>
      <c r="D148" s="17" t="inlineStr">
        <is>
          <t>sgn_scorpion</t>
        </is>
      </c>
      <c r="E148" s="17" t="inlineStr">
        <is>
          <t>sgn_vessel</t>
        </is>
      </c>
      <c r="F148" s="17" t="inlineStr">
        <is>
          <t>no</t>
        </is>
      </c>
      <c r="G148" s="17" t="inlineStr">
        <is>
          <t>drafted</t>
        </is>
      </c>
      <c r="H148" s="17" t="inlineStr">
        <is>
          <t>C: Kheldar, professionally curious about anyone who can't be bought, tries to find Rinsa's price out of habit -- what would make her talk about who's actually gone down to the oracle and what they asked. She tells him the question's not for sale; it was never hers to sell in the first place. B: Kheldar, unused to a flat no that isn't posturing for a better offer, tests it twice more and gets the same answer, unchanged, unbothered. He admits, grudgingly, that he can usually find the angle in anyone's refusal, and can't find one in hers. A: Rinsa tells him plainly there isn't an angle, because she's not protecting herself, she's protecting what the descent actually is for the people who need it -- there's nothing in it for her to leverage since none of it was ever hers to begin with. Kheldar, whose entire trade runs on everyone having a self-interest to work with, sits with the genuinely strange experience of a person with none, at least not here, and finds it more unsettling than any hard bargain would have been. He stops asking. It's one of the only doors he's ever walked away from without checking twice for another way in.</t>
        </is>
      </c>
      <c r="I148" s="17" t="inlineStr">
        <is>
          <t>Kheldar=Scorpion reused from Kheldar/Kest. Rinsa's own already-stated sign, the Vessel, reused verbatim. Scorpion's whole method (leverage via what someone has to lose) meets Vessel's failure mode ('belongs to everyone and therefore to nobody') from the one angle it can't work: nothing personal left to leverage. Platonic chain, capped at A.</t>
        </is>
      </c>
    </row>
    <row r="149">
      <c r="A149" s="17" t="inlineStr">
        <is>
          <t>sup_kheldar_kest</t>
        </is>
      </c>
      <c r="B149" s="17" t="inlineStr">
        <is>
          <t>u_kheldar</t>
        </is>
      </c>
      <c r="C149" s="17" t="inlineStr">
        <is>
          <t>u_kest</t>
        </is>
      </c>
      <c r="D149" s="17" t="inlineStr">
        <is>
          <t>sgn_scorpion</t>
        </is>
      </c>
      <c r="E149" s="17" t="inlineStr">
        <is>
          <t>sgn_twins</t>
        </is>
      </c>
      <c r="F149" s="17" t="inlineStr">
        <is>
          <t>no</t>
        </is>
      </c>
      <c r="G149" s="17" t="inlineStr">
        <is>
          <t>drafted</t>
        </is>
      </c>
      <c r="H149" s="17" t="inlineStr">
        <is>
          <t>C: Kest recognizes Kheldar's manifest discrepancies for exactly what they are, because she's been running the same trick smaller and poorer her whole life; she corners him wanting either a cut or an explanation. B: Kheldar offers neither -- offers instead an assessment: she's good enough to be dangerous to him specifically, and he'd rather know where she is than have her loose in his ledgers. Kest hears this as respect dressed as threat, which is closer to true than either of them says out loud. A: Kest admits she never takes more than what an economy this shrunken has already lost; Kheldar, whose whole trade runs on discrepancies nobody's tracking closely enough to miss, recognizes the same code he doesn't follow himself and doesn't insult her by pretending otherwise. What they land on isn't trust, it's the working peace two professionals reach when neither one's stupid enough to make the other an enemy over scraps -- and Kheldar, for the first time on record, tells someone a true number.</t>
        </is>
      </c>
      <c r="I149" s="17" t="inlineStr">
        <is>
          <t>Kest's sign (the Twins) is her own already-stated sign, reused verbatim. Kheldar=Scorpion is new, off his own note ('smuggler merchant-spy... manifest discrepancy thread' -- an information broker who trades in what he remembers and what he can hold over someone, the Scorpion's virtue 'carries the grudge that keeps everyone honest' read as leverage rather than personal grievance). Rivalry-to-working-peace chain between Nikaia's two underworld professionals; capped at A, no romance flag (deliberately platonic -- two people whose whole skillset is not attaching to anything).</t>
        </is>
      </c>
    </row>
    <row r="150">
      <c r="A150" s="17" t="inlineStr">
        <is>
          <t>sup_dietmar_torvald</t>
        </is>
      </c>
      <c r="B150" s="17" t="inlineStr">
        <is>
          <t>u_dietmar</t>
        </is>
      </c>
      <c r="C150" s="17" t="inlineStr">
        <is>
          <t>u_torvald</t>
        </is>
      </c>
      <c r="D150" s="17" t="inlineStr">
        <is>
          <t>sgn_lion</t>
        </is>
      </c>
      <c r="E150" s="17" t="inlineStr">
        <is>
          <t>sgn_crab</t>
        </is>
      </c>
      <c r="F150" s="17" t="inlineStr">
        <is>
          <t>no</t>
        </is>
      </c>
      <c r="G150" s="17" t="inlineStr">
        <is>
          <t>drafted</t>
        </is>
      </c>
      <c r="H150" s="17" t="inlineStr">
        <is>
          <t>C: Two old soldiers from opposite prologues, thrown together once the routes converge, sizing each other up as artifacts of a war nobody under thirty remembers. Dietmar wants to know if Torvald's order died well; Torvald wants to know why Dietmar's still trying to be someone's last good memory of the revolution. B: Dietmar admits the obsolescence stings worse than any wound -- being kept around as a symbol, not a soldier. Torvald's answer isn't sympathy, it's correction: his whole order is dead and he's still here holding a post for people who aren't; Dietmar, by comparison, still has a war to be useful in, he's just too proud to notice. A: Dietmar takes the correction the way only another veteran could land it, and starts fighting for the gate-holding deed the way Torvald's been holding his post all along -- not for the record, because there's a body of men behind him worth it. Torvald, watching Dietmar finally stop performing the revolution and start doing the actual unglamorous work of it, extends the closest thing he has left to give: he calls him brother-in-arms, and means the second word literally, for the first time since the plague took his own.</t>
        </is>
      </c>
      <c r="I150" s="17" t="inlineStr">
        <is>
          <t>Dietmar=Lion is new, off his own note ('revolution-generation; obsolescence arc' -- an old-guard hero whose identity depends on being seen as one, now fading, the Lion's failure mode 'cannot take a demotion gracefully' as the literal obsolescence arc). Torvald=Crab is new, off his own note ('last of a plague-gutted order; force-deployed' -- loyal past reason to an order that no longer exists to give orders, the Crab's virtue/failure pair exactly) -- a third distinct Crab (after Ricberta's military-secrecy and Maren's medical-scarcity readings), argued here as institutional loyalty that survives its own institution's death; the repetition is deliberate, not a shortcut, per the signs tab's own allowance for 18 units over 12 signs. Both jagens, cross-route (diadem/assembly), so this only makes sense post-convergence, same convention as Waldrada/Edda. Platonic chain, capped at A (no S) -- non-romantic chains in this pass cap at A, reserving S for the 10 romance-flagged chains.</t>
        </is>
      </c>
    </row>
    <row r="151">
      <c r="A151" s="17" t="inlineStr">
        <is>
          <t>sup_dietmar_rinsa</t>
        </is>
      </c>
      <c r="B151" s="17" t="inlineStr">
        <is>
          <t>u_dietmar</t>
        </is>
      </c>
      <c r="C151" s="17" t="inlineStr">
        <is>
          <t>u_rinsa</t>
        </is>
      </c>
      <c r="D151" s="17" t="inlineStr">
        <is>
          <t>sgn_lion</t>
        </is>
      </c>
      <c r="E151" s="17" t="inlineStr">
        <is>
          <t>sgn_vessel</t>
        </is>
      </c>
      <c r="F151" s="17" t="inlineStr">
        <is>
          <t>no</t>
        </is>
      </c>
      <c r="G151" s="17" t="inlineStr">
        <is>
          <t>drafted</t>
        </is>
      </c>
      <c r="H151" s="17" t="inlineStr">
        <is>
          <t>C: Dietmar asks Rinsa whether the dead of the revolution are down there. She tells him everyone asks, and it doesn't work like a muster roll. B: He asks whether they judge. She says the dark isn't a jury; nothing down there is taking attendance. Dietmar admits it's not the answer he hoped for. A: Dietmar confesses he half hoped to be summoned -- an audience of the dead who would remember what he did. Rinsa tells him nobody down there is watching, which means he is the only one keeping the record, and that's heavier but it's his. He asks her to lead him down someday, not for an answer, only to see the place his comrades might be. She says she'll walk the stairs with him, which she has never offered anyone as a favour.</t>
        </is>
      </c>
      <c r="I151" s="17" t="inlineStr">
        <is>
          <t>Both signs reused verbatim (Dietmar=Lion from Dietmar/Torvald, Rinsa's own already-stated sign, the Vessel). Both-route/diadem convergence. Lion's need for an audience meets the one place with none; ties to Rinsa's own note ('the only unit who has BEEN down there'). Platonic chain, capped at A.</t>
        </is>
      </c>
    </row>
    <row r="152">
      <c r="A152" s="17" t="inlineStr">
        <is>
          <t>sup_dietmar_kest</t>
        </is>
      </c>
      <c r="B152" s="17" t="inlineStr">
        <is>
          <t>u_dietmar</t>
        </is>
      </c>
      <c r="C152" s="17" t="inlineStr">
        <is>
          <t>u_kest</t>
        </is>
      </c>
      <c r="D152" s="17" t="inlineStr">
        <is>
          <t>sgn_lion</t>
        </is>
      </c>
      <c r="E152" s="17" t="inlineStr">
        <is>
          <t>sgn_twins</t>
        </is>
      </c>
      <c r="F152" s="17" t="inlineStr">
        <is>
          <t>no</t>
        </is>
      </c>
      <c r="G152" s="17" t="inlineStr">
        <is>
          <t>drafted</t>
        </is>
      </c>
      <c r="H152" s="17" t="inlineStr">
        <is>
          <t>C: Dietmar catches Kest casing his post and gives her a lecture on honour, at length. Kest argues both sides of it out loud while he is still talking. B: He stops. He says he once did worse for a better cause, and from the outside it looked exactly the same. Kest, who was ready to be lectured and not to be answered, doesn't argue either side of that. A: Dietmar asks her to argue the case against him: is he obsolete? She can, and does, both ways. She argues for him harder than against. Dietmar hears the whole thing without needing a verdict. Kest doesn't give one. It is the first time either has asked for an argument and been glad not to be told how it ended.</t>
        </is>
      </c>
      <c r="I152" s="17" t="inlineStr">
        <is>
          <t>Both signs reused verbatim (Dietmar=Lion from Dietmar/Torvald, Kest's own already-stated sign, the Twins). Both diadem-route. Lion's need for a verdict on whether he still matters met by Twins' talent for arguing both sides. Deliberately does not touch Kest's withheld reveal or the decan token, per her own note. Platonic chain, capped at A.</t>
        </is>
      </c>
    </row>
    <row r="153">
      <c r="A153" s="17" t="inlineStr">
        <is>
          <t>sup_torvald_rinsa</t>
        </is>
      </c>
      <c r="B153" s="17" t="inlineStr">
        <is>
          <t>u_torvald</t>
        </is>
      </c>
      <c r="C153" s="17" t="inlineStr">
        <is>
          <t>u_rinsa</t>
        </is>
      </c>
      <c r="D153" s="17" t="inlineStr">
        <is>
          <t>sgn_crab</t>
        </is>
      </c>
      <c r="E153" s="17" t="inlineStr">
        <is>
          <t>sgn_vessel</t>
        </is>
      </c>
      <c r="F153" s="17" t="inlineStr">
        <is>
          <t>no</t>
        </is>
      </c>
      <c r="G153" s="17" t="inlineStr">
        <is>
          <t>drafted</t>
        </is>
      </c>
      <c r="H153" s="17" t="inlineStr">
        <is>
          <t>C: Torvald, near the end of his own service, asks Rinsa plainly whether the dead ever say anything worth the climb back up. Rinsa gives him her standard answer: that's not a question she can answer, only the one who descends can. B: Torvald admits he's not actually asking about the oracle -- he's asking whether holding a post for a dead order this long has been worth anything, and she's the closest thing to someone who'd know what 'worth it, afterward' even means. Rinsa tells him she doesn't get that answer either, professionally; she only ever brings people down and back, she's never once gotten to ask her own question. A: Torvald offers her something in trade: if she ever wants to actually ask a question instead of only ever guiding someone else's, he'll stand watch at the top for as long as it takes, no charge, soldier's word. Rinsa, who pours herself out for strangers hundreds of times over and has never once had anyone offer to hold the door for her specifically, doesn't take him up on it right away. She does tell him, for the first time in her whole career, what she thinks might actually be down there -- not the answer, just a guess, offered to the one person who asked what it cost her to never get to ask.</t>
        </is>
      </c>
      <c r="I153" s="17" t="inlineStr">
        <is>
          <t>Torvald=Crab reused from Dietmar/Torvald. Rinsa's own already-stated sign, the Vessel, reused verbatim. Crab's loyalty (duty held past reason) offered concretely to Vessel's failure mode ('belongs to everyone and therefore to nobody') -- an offer to hold the door for the one person who holds it for everyone else. Platonic chain, capped at A.</t>
        </is>
      </c>
    </row>
    <row r="154">
      <c r="A154" s="17" t="inlineStr">
        <is>
          <t>sup_torvald_kest</t>
        </is>
      </c>
      <c r="B154" s="17" t="inlineStr">
        <is>
          <t>u_torvald</t>
        </is>
      </c>
      <c r="C154" s="17" t="inlineStr">
        <is>
          <t>u_kest</t>
        </is>
      </c>
      <c r="D154" s="17" t="inlineStr">
        <is>
          <t>sgn_crab</t>
        </is>
      </c>
      <c r="E154" s="17" t="inlineStr">
        <is>
          <t>sgn_twins</t>
        </is>
      </c>
      <c r="F154" s="17" t="inlineStr">
        <is>
          <t>no</t>
        </is>
      </c>
      <c r="G154" s="17" t="inlineStr">
        <is>
          <t>drafted</t>
        </is>
      </c>
      <c r="H154" s="17" t="inlineStr">
        <is>
          <t>C: Torvald catches Kest lifting a coin off a dead man's belt during a battlefield sweep and says nothing about the theft, only that the dead don't need it argued over. Kest, mid-argument with herself as usual, is unsettled that he clocked the argument and not the theft. B: Kest needles him about outliving an entire order -- doesn't he argue with himself about why he's the one left. Torvald says no, flatly; the arguing stopped being useful a long time ago, it's just grief now, and grief doesn't need two sides. Kest goes quiet in a way that isn't her usual quiet. A: Kest admits, closer to the truth than she's told anyone, that her own arguing used to be a real second voice and isn't anymore, and she doesn't know if losing the argument or losing the reason for it hurt worse. Torvald, who has exactly one answer to that question and has had years to sit with it, tells her it's both, always both, and that the day it stops being both is the day to worry. It's the closest anyone in the roster comes to naming what's actually wrong with her, without either of them saying her brother's name.</t>
        </is>
      </c>
      <c r="I154" s="17" t="inlineStr">
        <is>
          <t>Torvald=Crab reused from Ricberta/Torvald above. Kest's sign (the Twins) is her own already-stated sign, reused verbatim. Direct thematic tie to Kest's own note (grieving a twin brother, hidden until supports 'earn the reveal') and Torvald's own note (sole survivor of a wiped order) -- both carry an unspoken grief the chain gestures at without cashing in the full reveal, consistent with her own note that the reveal is meant to surface gradually across her support web, not in any single chain. Platonic chain, capped at A.</t>
        </is>
      </c>
    </row>
    <row r="155">
      <c r="A155" s="17" t="inlineStr">
        <is>
          <t>sup_rinsa_kest</t>
        </is>
      </c>
      <c r="B155" s="17" t="inlineStr">
        <is>
          <t>u_rinsa</t>
        </is>
      </c>
      <c r="C155" s="17" t="inlineStr">
        <is>
          <t>u_kest</t>
        </is>
      </c>
      <c r="D155" s="17" t="inlineStr">
        <is>
          <t>sgn_vessel</t>
        </is>
      </c>
      <c r="E155" s="17" t="inlineStr">
        <is>
          <t>sgn_twins</t>
        </is>
      </c>
      <c r="F155" s="17" t="inlineStr">
        <is>
          <t>yes</t>
        </is>
      </c>
      <c r="G155" s="17" t="inlineStr">
        <is>
          <t>drafted</t>
        </is>
      </c>
      <c r="H155" s="17" t="inlineStr">
        <is>
          <t>C: Kest cases the oracle's approach out of habit, not intent, and gets caught doing it by the one person working there who isn't clergy and doesn't care. Rinsa's take: everyone the descender meets is already asking her for something; a thief casing the place for a change is almost restful. B: Kest can't settle on whether Rinsa's refusal to say if the oracle is real is honesty or the longest con in Nikaia, and says so, expecting an argument. Rinsa agrees it could be either, offers no tiebreak, and goes back to work -- which unsettles Kest more than a denial would have. A: Rinsa points out, flatly, that Kest never actually takes anything from her -- no mark, no angle, just circling. Kest's answer is the closest thing to a confession she gives anyone: she doesn't know how to want something without a plan for losing it cleanly, and Rinsa is not a clean loss. S (romance): two people built to give nothing of themselves away for keeps find the one exception is each other -- Kest stops arguing herself out of it, Rinsa stops pouring herself into strangers long enough to keep something back on purpose, for once, for someone in particular.</t>
        </is>
      </c>
      <c r="I155" s="17" t="inlineStr">
        <is>
          <t>Rinsa's sign (the Vessel) is already stated on her own units row, reused verbatim, not reassigned. Kest=Twins is new, off her own note ('prodigious thief... picking through the ruin of an economy rather than preying on' -- implies a thief who constantly argues the moral case for her own targets, the Twins' own virtue/failure -- sees the case against her own position, won't commit while a better argument exists -- matches a Locke-Lamora-archetype code-bound thief exactly). Twins-won't-commit x Vessel-belongs-to-nobody is two different roads to the same non-attachment, which the S-support is built to break, not resolve away.</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22" customWidth="1" style="18" min="1" max="1"/>
    <col width="10" customWidth="1" style="18" min="2" max="2"/>
    <col width="40" customWidth="1" style="18" min="3" max="3"/>
    <col width="80" customWidth="1" style="18" min="4" max="4"/>
  </cols>
  <sheetData>
    <row r="1">
      <c r="A1" s="26" t="inlineStr">
        <is>
          <t>param_id</t>
        </is>
      </c>
      <c r="B1" s="26" t="inlineStr">
        <is>
          <t>value</t>
        </is>
      </c>
      <c r="C1" s="26" t="inlineStr">
        <is>
          <t>text</t>
        </is>
      </c>
      <c r="D1" s="26" t="inlineStr">
        <is>
          <t>notes</t>
        </is>
      </c>
    </row>
    <row r="2">
      <c r="A2" s="17" t="inlineStr">
        <is>
          <t>prm_promote_min_level</t>
        </is>
      </c>
      <c r="B2" s="17" t="n">
        <v>15</v>
      </c>
      <c r="D2" s="17" t="inlineStr">
        <is>
          <t>Level at which a trained unit may certify into an order or hybrid class (canon: classes.notes 'lv15+, pair-certified'). There is NO gate and NO level cap: a unit may stay unpromoted and keep levelling forever.</t>
        </is>
      </c>
    </row>
    <row r="3">
      <c r="A3" s="17" t="inlineStr">
        <is>
          <t>prm_fee_base</t>
        </is>
      </c>
      <c r="B3" s="17" t="n">
        <v>300</v>
      </c>
      <c r="D3" s="17" t="inlineStr">
        <is>
          <t>Gold to certify at promote_min_level. Gold is the only thing certification costs; it is never free.</t>
        </is>
      </c>
    </row>
    <row r="4">
      <c r="A4" s="17" t="inlineStr">
        <is>
          <t>prm_fee_per_level</t>
        </is>
      </c>
      <c r="B4" s="17" t="n">
        <v>100</v>
      </c>
      <c r="D4" s="17" t="inlineStr">
        <is>
          <t>Extra gold per level past promote_min_level -- the later you certify, the dearer it is, so promoting early is simply cheapest.</t>
        </is>
      </c>
    </row>
    <row r="5">
      <c r="A5" s="17" t="inlineStr">
        <is>
          <t>prm_recert_fraction</t>
        </is>
      </c>
      <c r="B5" s="17" t="n">
        <v>0.5</v>
      </c>
      <c r="D5" s="17" t="inlineStr">
        <is>
          <t>Switching to another order class of the same art costs this fraction of the current promotion fee. Level and stats are kept.</t>
        </is>
      </c>
    </row>
    <row r="6">
      <c r="A6" s="17" t="inlineStr">
        <is>
          <t>prm_jump_hp</t>
        </is>
      </c>
      <c r="B6" s="17" t="n">
        <v>4</v>
      </c>
      <c r="D6" s="17" t="inlineStr">
        <is>
          <t>Flat stat jump on promotion (total +25). Calibrated so a trained recruit promoted at 15 lands at the order-tier baseline (~122 vs ~124); see PROMOTION_DESIGN.md.</t>
        </is>
      </c>
    </row>
    <row r="7">
      <c r="A7" s="17" t="inlineStr">
        <is>
          <t>prm_jump_str</t>
        </is>
      </c>
      <c r="B7" s="17" t="n">
        <v>3</v>
      </c>
      <c r="D7" s="17" t="inlineStr">
        <is>
          <t>Flat stat jump on promotion (total +25). Calibrated so a trained recruit promoted at 15 lands at the order-tier baseline (~122 vs ~124); see PROMOTION_DESIGN.md.</t>
        </is>
      </c>
    </row>
    <row r="8">
      <c r="A8" s="17" t="inlineStr">
        <is>
          <t>prm_jump_mag</t>
        </is>
      </c>
      <c r="B8" s="17" t="n">
        <v>2</v>
      </c>
      <c r="D8" s="17" t="inlineStr">
        <is>
          <t>Flat stat jump on promotion (total +25). Calibrated so a trained recruit promoted at 15 lands at the order-tier baseline (~122 vs ~124); see PROMOTION_DESIGN.md.</t>
        </is>
      </c>
    </row>
    <row r="9">
      <c r="A9" s="17" t="inlineStr">
        <is>
          <t>prm_jump_dex</t>
        </is>
      </c>
      <c r="B9" s="17" t="n">
        <v>4</v>
      </c>
      <c r="D9" s="17" t="inlineStr">
        <is>
          <t>Flat stat jump on promotion (total +25). Calibrated so a trained recruit promoted at 15 lands at the order-tier baseline (~122 vs ~124); see PROMOTION_DESIGN.md.</t>
        </is>
      </c>
    </row>
    <row r="10">
      <c r="A10" s="17" t="inlineStr">
        <is>
          <t>prm_jump_spd</t>
        </is>
      </c>
      <c r="B10" s="17" t="n">
        <v>3</v>
      </c>
      <c r="D10" s="17" t="inlineStr">
        <is>
          <t>Flat stat jump on promotion (total +25). Calibrated so a trained recruit promoted at 15 lands at the order-tier baseline (~122 vs ~124); see PROMOTION_DESIGN.md.</t>
        </is>
      </c>
    </row>
    <row r="11">
      <c r="A11" s="17" t="inlineStr">
        <is>
          <t>prm_jump_lck</t>
        </is>
      </c>
      <c r="B11" s="17" t="n">
        <v>2</v>
      </c>
      <c r="D11" s="17" t="inlineStr">
        <is>
          <t>Flat stat jump on promotion (total +25). Calibrated so a trained recruit promoted at 15 lands at the order-tier baseline (~122 vs ~124); see PROMOTION_DESIGN.md.</t>
        </is>
      </c>
    </row>
    <row r="12">
      <c r="A12" s="17" t="inlineStr">
        <is>
          <t>prm_jump_def</t>
        </is>
      </c>
      <c r="B12" s="17" t="n">
        <v>4</v>
      </c>
      <c r="D12" s="17" t="inlineStr">
        <is>
          <t>Flat stat jump on promotion (total +25). Calibrated so a trained recruit promoted at 15 lands at the order-tier baseline (~122 vs ~124); see PROMOTION_DESIGN.md.</t>
        </is>
      </c>
    </row>
    <row r="13">
      <c r="A13" s="17" t="inlineStr">
        <is>
          <t>prm_jump_res</t>
        </is>
      </c>
      <c r="B13" s="17" t="n">
        <v>3</v>
      </c>
      <c r="D13" s="17" t="inlineStr">
        <is>
          <t>Flat stat jump on promotion (total +25). Calibrated so a trained recruit promoted at 15 lands at the order-tier baseline (~122 vs ~124); see PROMOTION_DESIGN.md.</t>
        </is>
      </c>
    </row>
    <row r="14">
      <c r="A14" s="17" t="inlineStr">
        <is>
          <t>prm_growth_bonus</t>
        </is>
      </c>
      <c r="B14" s="17" t="n">
        <v>5</v>
      </c>
      <c r="D14" s="17" t="inlineStr">
        <is>
          <t>Added to every growth rate (percentage points) for every level gained after promotion: every unpromoted level is a small standing loss.</t>
        </is>
      </c>
    </row>
    <row r="15">
      <c r="A15" s="17" t="inlineStr">
        <is>
          <t>prm_slots_base</t>
        </is>
      </c>
      <c r="B15" s="17" t="n">
        <v>1</v>
      </c>
      <c r="D15" s="17" t="inlineStr">
        <is>
          <t>Ability slots every unit has.</t>
        </is>
      </c>
    </row>
    <row r="16">
      <c r="A16" s="17" t="inlineStr">
        <is>
          <t>prm_slots_every</t>
        </is>
      </c>
      <c r="B16" s="17" t="n">
        <v>10</v>
      </c>
      <c r="D16" s="17" t="inlineStr">
        <is>
          <t>+1 ability slot each time the level reaches a multiple of this (10, 20, 30...).</t>
        </is>
      </c>
    </row>
    <row r="17">
      <c r="A17" s="17" t="inlineStr">
        <is>
          <t>prm_slots_promotion</t>
        </is>
      </c>
      <c r="B17" s="17" t="n">
        <v>1</v>
      </c>
      <c r="D17" s="17" t="inlineStr">
        <is>
          <t>+1 ability slot once promoted.</t>
        </is>
      </c>
    </row>
    <row r="18">
      <c r="A18" s="17" t="inlineStr">
        <is>
          <t>prm_exp_per_level</t>
        </is>
      </c>
      <c r="B18" s="17" t="n">
        <v>100</v>
      </c>
      <c r="D18" s="17" t="inlineStr">
        <is>
          <t>EXP per level.</t>
        </is>
      </c>
    </row>
    <row r="19">
      <c r="A19" s="17" t="inlineStr">
        <is>
          <t>prm_exp_base</t>
        </is>
      </c>
      <c r="B19" s="17" t="n">
        <v>10</v>
      </c>
      <c r="D19" s="17" t="inlineStr">
        <is>
          <t>EXP for a fight: clamp(base + per_diff x (enemy level - unit level), min, max).</t>
        </is>
      </c>
    </row>
    <row r="20">
      <c r="A20" s="17" t="inlineStr">
        <is>
          <t>prm_exp_per_diff</t>
        </is>
      </c>
      <c r="B20" s="17" t="n">
        <v>3</v>
      </c>
      <c r="D20" s="17" t="inlineStr">
        <is>
          <t>See exp_base.</t>
        </is>
      </c>
    </row>
    <row r="21">
      <c r="A21" s="17" t="inlineStr">
        <is>
          <t>prm_exp_min</t>
        </is>
      </c>
      <c r="B21" s="17" t="n">
        <v>1</v>
      </c>
      <c r="D21" s="17" t="inlineStr">
        <is>
          <t>See exp_base.</t>
        </is>
      </c>
    </row>
    <row r="22">
      <c r="A22" s="17" t="inlineStr">
        <is>
          <t>prm_exp_max</t>
        </is>
      </c>
      <c r="B22" s="17" t="n">
        <v>30</v>
      </c>
      <c r="D22" s="17" t="inlineStr">
        <is>
          <t>See exp_base.</t>
        </is>
      </c>
    </row>
    <row r="23">
      <c r="A23" s="17" t="inlineStr">
        <is>
          <t>prm_kill_base</t>
        </is>
      </c>
      <c r="B23" s="17" t="n">
        <v>30</v>
      </c>
      <c r="D23" s="17" t="inlineStr">
        <is>
          <t>Extra EXP for a kill: clamp(kill_base + kill_per_diff x level diff, 0, kill_max).</t>
        </is>
      </c>
    </row>
    <row r="24">
      <c r="A24" s="17" t="inlineStr">
        <is>
          <t>prm_kill_per_diff</t>
        </is>
      </c>
      <c r="B24" s="17" t="n">
        <v>5</v>
      </c>
      <c r="D24" s="17" t="inlineStr">
        <is>
          <t>See kill_base.</t>
        </is>
      </c>
    </row>
    <row r="25">
      <c r="A25" s="17" t="inlineStr">
        <is>
          <t>prm_kill_max</t>
        </is>
      </c>
      <c r="B25" s="17" t="n">
        <v>60</v>
      </c>
      <c r="D25" s="17" t="inlineStr">
        <is>
          <t>See kill_base.</t>
        </is>
      </c>
    </row>
    <row r="26">
      <c r="A26" s="17" t="inlineStr">
        <is>
          <t>prm_catchup_gap</t>
        </is>
      </c>
      <c r="B26" s="17" t="n">
        <v>3</v>
      </c>
      <c r="D26" s="17" t="inlineStr">
        <is>
          <t>A unit joining more than this many levels under the squad median is raised to median - gap (by its own expected growth).</t>
        </is>
      </c>
    </row>
    <row r="27">
      <c r="A27" s="17" t="inlineStr">
        <is>
          <t>prm_underdog_per_level</t>
        </is>
      </c>
      <c r="B27" s="17" t="n">
        <v>0.25</v>
      </c>
      <c r="D27" s="17" t="inlineStr">
        <is>
          <t>A unit below the squad median earns this much extra EXP (a fraction) per level of deficit...</t>
        </is>
      </c>
    </row>
    <row r="28">
      <c r="A28" s="17" t="inlineStr">
        <is>
          <t>prm_underdog_cap</t>
        </is>
      </c>
      <c r="B28" s="17" t="n">
        <v>1</v>
      </c>
      <c r="D28" s="17" t="inlineStr">
        <is>
          <t>...up to this fraction (1.0 = double EXP).</t>
        </is>
      </c>
    </row>
    <row r="29">
      <c r="A29" s="17" t="inlineStr">
        <is>
          <t>prm_income_base</t>
        </is>
      </c>
      <c r="B29" s="17" t="n">
        <v>200</v>
      </c>
      <c r="D29" s="17" t="inlineStr">
        <is>
          <t>Gold earned for winning a map.</t>
        </is>
      </c>
    </row>
    <row r="30">
      <c r="A30" s="17" t="inlineStr">
        <is>
          <t>prm_income_per_kill</t>
        </is>
      </c>
      <c r="B30" s="17" t="n">
        <v>15</v>
      </c>
      <c r="D30" s="17" t="inlineStr">
        <is>
          <t>Extra gold per enemy defeated on the map.</t>
        </is>
      </c>
    </row>
    <row r="31">
      <c r="A31" s="17" t="inlineStr">
        <is>
          <t>prm_income_factor_bonus</t>
        </is>
      </c>
      <c r="B31" s="17" t="n">
        <v>0.5</v>
      </c>
      <c r="D31" s="17" t="inlineStr">
        <is>
          <t>Income multiplier bonus if Kheldar (cls_factor, 'end-map income') is still on the map at the win.</t>
        </is>
      </c>
    </row>
    <row r="32">
      <c r="A32" s="17" t="inlineStr">
        <is>
          <t>prm_shape_infantry</t>
        </is>
      </c>
      <c r="C32" s="17" t="inlineStr"/>
      <c r="D32" s="17" t="inlineStr">
        <is>
          <t>Flat stat overlay for a promoted class of this movement type (zero-sum by design). Swapped out, not lost, when recertifying.</t>
        </is>
      </c>
    </row>
    <row r="33">
      <c r="A33" s="17" t="inlineStr">
        <is>
          <t>prm_shape_armor</t>
        </is>
      </c>
      <c r="C33" s="17" t="inlineStr">
        <is>
          <t>hp:3|def:3|res:1|spd:-3|dex:-2|lck:-2</t>
        </is>
      </c>
      <c r="D33" s="17" t="inlineStr">
        <is>
          <t>Flat stat overlay for a promoted class of this movement type (zero-sum by design). Swapped out, not lost, when recertifying.</t>
        </is>
      </c>
    </row>
    <row r="34">
      <c r="A34" s="17" t="inlineStr">
        <is>
          <t>prm_shape_riding</t>
        </is>
      </c>
      <c r="C34" s="17" t="inlineStr">
        <is>
          <t>spd:2|dex:1|str:1|def:-2|res:-1|hp:-1</t>
        </is>
      </c>
      <c r="D34" s="17" t="inlineStr">
        <is>
          <t>Flat stat overlay for a promoted class of this movement type (zero-sum by design). Swapped out, not lost, when recertifying.</t>
        </is>
      </c>
    </row>
    <row r="35">
      <c r="A35" s="17" t="inlineStr">
        <is>
          <t>prm_shape_flying</t>
        </is>
      </c>
      <c r="C35" s="17" t="inlineStr">
        <is>
          <t>spd:3|dex:1|def:-2|hp:-2</t>
        </is>
      </c>
      <c r="D35" s="17" t="inlineStr">
        <is>
          <t>Flat stat overlay for a promoted class of this movement type (zero-sum by design). Swapped out, not lost, when recertifying.</t>
        </is>
      </c>
    </row>
    <row r="36">
      <c r="A36" s="17" t="inlineStr">
        <is>
          <t>prm_paragon_min_level</t>
        </is>
      </c>
      <c r="B36" s="17" t="n">
        <v>30</v>
      </c>
      <c r="C36" s="17" t="n"/>
      <c r="D36" s="17" t="inlineStr">
        <is>
          <t>Level at which a certified unit may take the paragon tier (canon: classes.notes "lv30+, deed-gated"). Still no cap and no gate: units keep levelling past it unpromoted.</t>
        </is>
      </c>
    </row>
    <row r="37">
      <c r="A37" s="17" t="inlineStr">
        <is>
          <t>prm_paragon_deeds_required</t>
        </is>
      </c>
      <c r="B37" s="17" t="n">
        <v>1</v>
      </c>
      <c r="C37" s="17" t="n"/>
      <c r="D37" s="17" t="inlineStr">
        <is>
          <t>How many epithets flagged gates_paragon the unit must have earned. Deeds are kept for the whole playthrough and never expire, so none can be missed.</t>
        </is>
      </c>
    </row>
    <row r="38">
      <c r="A38" s="17" t="inlineStr">
        <is>
          <t>prm_paragon_fee_base</t>
        </is>
      </c>
      <c r="B38" s="17" t="n">
        <v>1000</v>
      </c>
      <c r="C38" s="17" t="n"/>
      <c r="D38" s="17" t="inlineStr">
        <is>
          <t>Gold at paragon_min_level.</t>
        </is>
      </c>
    </row>
    <row r="39">
      <c r="A39" s="17" t="inlineStr">
        <is>
          <t>prm_paragon_fee_per_level</t>
        </is>
      </c>
      <c r="B39" s="17" t="n">
        <v>150</v>
      </c>
      <c r="C39" s="17" t="n"/>
      <c r="D39" s="17" t="inlineStr">
        <is>
          <t>Extra gold per level past paragon_min_level (same "earliest is cheapest" rule as the first tier).</t>
        </is>
      </c>
    </row>
    <row r="40">
      <c r="A40" s="17" t="inlineStr">
        <is>
          <t>prm_paragon_growth_bonus</t>
        </is>
      </c>
      <c r="B40" s="17" t="n">
        <v>5</v>
      </c>
      <c r="C40" s="17" t="n"/>
      <c r="D40" s="17" t="inlineStr">
        <is>
          <t>Added to every growth rate for levels gained after taking the paragon tier, on top of growth_bonus.</t>
        </is>
      </c>
    </row>
    <row r="41">
      <c r="A41" s="17" t="inlineStr">
        <is>
          <t>prm_paragon_slots</t>
        </is>
      </c>
      <c r="B41" s="17" t="n">
        <v>1</v>
      </c>
      <c r="C41" s="17" t="n"/>
      <c r="D41" s="17" t="inlineStr">
        <is>
          <t>Extra ability slots on taking the paragon tier.</t>
        </is>
      </c>
    </row>
    <row r="42">
      <c r="A42" s="17" t="inlineStr">
        <is>
          <t>prm_solo_hold_phases</t>
        </is>
      </c>
      <c r="B42" s="17" t="n">
        <v>3</v>
      </c>
      <c r="C42" s="17" t="n"/>
      <c r="D42" s="17" t="inlineStr">
        <is>
          <t>ep_solohold: consecutive enemy phases a unit must stand on the same tile, attacked, with no ally nearby (canon: "holds a choke alone for 3+ enemy phases").</t>
        </is>
      </c>
    </row>
    <row r="43">
      <c r="A43" s="17" t="inlineStr">
        <is>
          <t>prm_solo_hold_radius</t>
        </is>
      </c>
      <c r="B43" s="17" t="n">
        <v>2</v>
      </c>
      <c r="C43" s="17" t="n"/>
      <c r="D43" s="17" t="inlineStr">
        <is>
          <t>ep_solohold: "alone" means no other player unit within this many tiles (the support range).</t>
        </is>
      </c>
    </row>
    <row r="44">
      <c r="A44" s="17" t="inlineStr">
        <is>
          <t>prm_paragon_jump_hp</t>
        </is>
      </c>
      <c r="B44" s="17" t="n">
        <v>5</v>
      </c>
      <c r="C44" s="17" t="n"/>
      <c r="D44" s="17" t="inlineStr">
        <is>
          <t>Flat stat jump on taking the paragon tier (total +30), on top of the first-tier jump.</t>
        </is>
      </c>
    </row>
    <row r="45">
      <c r="A45" s="17" t="inlineStr">
        <is>
          <t>prm_paragon_jump_str</t>
        </is>
      </c>
      <c r="B45" s="17" t="n">
        <v>4</v>
      </c>
      <c r="C45" s="17" t="n"/>
      <c r="D45" s="17" t="inlineStr">
        <is>
          <t>Flat stat jump on taking the paragon tier (total +30), on top of the first-tier jump.</t>
        </is>
      </c>
    </row>
    <row r="46">
      <c r="A46" s="17" t="inlineStr">
        <is>
          <t>prm_paragon_jump_mag</t>
        </is>
      </c>
      <c r="B46" s="17" t="n">
        <v>3</v>
      </c>
      <c r="C46" s="17" t="n"/>
      <c r="D46" s="17" t="inlineStr">
        <is>
          <t>Flat stat jump on taking the paragon tier (total +30), on top of the first-tier jump.</t>
        </is>
      </c>
    </row>
    <row r="47">
      <c r="A47" s="17" t="inlineStr">
        <is>
          <t>prm_paragon_jump_dex</t>
        </is>
      </c>
      <c r="B47" s="17" t="n">
        <v>4</v>
      </c>
      <c r="C47" s="17" t="n"/>
      <c r="D47" s="17" t="inlineStr">
        <is>
          <t>Flat stat jump on taking the paragon tier (total +30), on top of the first-tier jump.</t>
        </is>
      </c>
    </row>
    <row r="48">
      <c r="A48" s="17" t="inlineStr">
        <is>
          <t>prm_paragon_jump_spd</t>
        </is>
      </c>
      <c r="B48" s="17" t="n">
        <v>4</v>
      </c>
      <c r="C48" s="17" t="n"/>
      <c r="D48" s="17" t="inlineStr">
        <is>
          <t>Flat stat jump on taking the paragon tier (total +30), on top of the first-tier jump.</t>
        </is>
      </c>
    </row>
    <row r="49">
      <c r="A49" s="17" t="inlineStr">
        <is>
          <t>prm_paragon_jump_lck</t>
        </is>
      </c>
      <c r="B49" s="17" t="n">
        <v>3</v>
      </c>
      <c r="C49" s="17" t="n"/>
      <c r="D49" s="17" t="inlineStr">
        <is>
          <t>Flat stat jump on taking the paragon tier (total +30), on top of the first-tier jump.</t>
        </is>
      </c>
    </row>
    <row r="50">
      <c r="A50" s="17" t="inlineStr">
        <is>
          <t>prm_paragon_jump_def</t>
        </is>
      </c>
      <c r="B50" s="17" t="n">
        <v>4</v>
      </c>
      <c r="C50" s="17" t="n"/>
      <c r="D50" s="17" t="inlineStr">
        <is>
          <t>Flat stat jump on taking the paragon tier (total +30), on top of the first-tier jump.</t>
        </is>
      </c>
    </row>
    <row r="51">
      <c r="A51" s="17" t="inlineStr">
        <is>
          <t>prm_paragon_jump_res</t>
        </is>
      </c>
      <c r="B51" s="17" t="n">
        <v>3</v>
      </c>
      <c r="C51" s="17" t="n"/>
      <c r="D51" s="17" t="inlineStr">
        <is>
          <t>Flat stat jump on taking the paragon tier (total +30), on top of the first-tier jump.</t>
        </is>
      </c>
    </row>
    <row r="52">
      <c r="A52" s="17" t="inlineStr">
        <is>
          <t>prm_capture_hp_pct</t>
        </is>
      </c>
      <c r="B52" s="17" t="n">
        <v>50</v>
      </c>
      <c r="C52" s="17" t="n"/>
      <c r="D52" s="17" t="inlineStr">
        <is>
          <t>Capture: an enemy can be captured once its HP is at or below this percent of its maximum. Bosses cannot be captured.</t>
        </is>
      </c>
    </row>
    <row r="53">
      <c r="A53" s="17" t="inlineStr">
        <is>
          <t>prm_income_per_capture</t>
        </is>
      </c>
      <c r="B53" s="17" t="n">
        <v>25</v>
      </c>
      <c r="C53" s="17" t="n"/>
      <c r="D53" s="17" t="inlineStr">
        <is>
          <t>Ransom: extra gold per enemy captured rather than defeated (a defeat is worth income_per_kill, so mercy pays better but drops no weapon).</t>
        </is>
      </c>
    </row>
    <row r="54">
      <c r="A54" s="17" t="inlineStr">
        <is>
          <t>prm_shove_distance</t>
        </is>
      </c>
      <c r="B54" s="17" t="n">
        <v>1</v>
      </c>
      <c r="C54" s="17" t="n"/>
      <c r="D54" s="17" t="inlineStr">
        <is>
          <t>Shove (map action): tiles an adjacent unit is pushed straight away from the shover. Gunnar starts with this; it upgrades to Smite once he is certified.</t>
        </is>
      </c>
    </row>
    <row r="55">
      <c r="A55" s="17" t="inlineStr">
        <is>
          <t>prm_smite_distance</t>
        </is>
      </c>
      <c r="B55" s="17" t="n">
        <v>2</v>
      </c>
      <c r="C55" s="17" t="n"/>
      <c r="D55" s="17" t="inlineStr">
        <is>
          <t>Smite (map action): the same push, one tile further. A class with 'smite' in classes.map_actions (the Housecarl) has it from the start; a shove unit gains it on certification.</t>
        </is>
      </c>
    </row>
    <row r="56">
      <c r="A56" s="17" t="inlineStr">
        <is>
          <t>prm_shove_armor_resist</t>
        </is>
      </c>
      <c r="B56" s="17" t="n">
        <v>1</v>
      </c>
      <c r="C56" s="17" t="n"/>
      <c r="D56" s="17" t="inlineStr">
        <is>
          <t>Tiles an armor-movement target resists a Shove/Smite (so a plain Shove cannot move armor at all, a Smite moves it one). Bosses are never pushed.</t>
        </is>
      </c>
    </row>
    <row r="57">
      <c r="A57" s="17" t="inlineStr">
        <is>
          <t>prm_collision_pct</t>
        </is>
      </c>
      <c r="B57" s="17" t="n">
        <v>10</v>
      </c>
      <c r="C57" s="17" t="n"/>
      <c r="D57" s="17" t="inlineStr">
        <is>
          <t>Shove/Smite collision: a pushed unit that hits a wall, the map edge or another unit takes this percent of its own max HP (rounded down); a unit it hits takes the same of its own. Never lethal: it stops at 1 HP.</t>
        </is>
      </c>
    </row>
    <row r="58">
      <c r="A58" s="17" t="inlineStr">
        <is>
          <t>prm_bribe_cost_base</t>
        </is>
      </c>
      <c r="B58" s="17" t="n">
        <v>40</v>
      </c>
      <c r="C58" s="17" t="n"/>
      <c r="D58" s="17" t="inlineStr">
        <is>
          <t>Bribe (Kheldar's map action): gold base price to turn an adjacent enemy neutral for the rest of the map.</t>
        </is>
      </c>
    </row>
    <row r="59">
      <c r="A59" s="17" t="inlineStr">
        <is>
          <t>prm_bribe_cost_per_level</t>
        </is>
      </c>
      <c r="B59" s="17" t="n">
        <v>10</v>
      </c>
      <c r="C59" s="17" t="n"/>
      <c r="D59" s="17" t="inlineStr">
        <is>
          <t>Bribe: extra gold per level of the enemy (a level-5 levy costs 90, a level-10 billman 140).</t>
        </is>
      </c>
    </row>
    <row r="60">
      <c r="A60" s="17" t="inlineStr">
        <is>
          <t>prm_bribe_per_map</t>
        </is>
      </c>
      <c r="B60" s="17" t="n">
        <v>1</v>
      </c>
      <c r="C60" s="17" t="n"/>
      <c r="D60" s="17" t="inlineStr">
        <is>
          <t>Bribe: how many enemies Kheldar can turn per map (canon: 'bribe one enemy to neutral'). Bosses cannot be bribed.</t>
        </is>
      </c>
    </row>
    <row r="61">
      <c r="A61" s="17" t="inlineStr">
        <is>
          <t>prm_delivery_radius</t>
        </is>
      </c>
      <c r="B61" s="17" t="n">
        <v>2</v>
      </c>
      <c r="C61" s="17" t="n"/>
      <c r="D61" s="17" t="inlineStr">
        <is>
          <t>ep_delivery: a unit 'escorts' a cargo unit if it is alive and within this many tiles of the goal when the cargo is delivered.</t>
        </is>
      </c>
    </row>
    <row r="62">
      <c r="A62" s="17" t="inlineStr">
        <is>
          <t>prm_talk_base</t>
        </is>
      </c>
      <c r="B62" s="17" t="n">
        <v>40</v>
      </c>
      <c r="C62" s="17" t="n"/>
      <c r="D62" s="17" t="inlineStr">
        <is>
          <t>Talk (map action): base chance in percent that an adjacent talkable enemy yields.</t>
        </is>
      </c>
    </row>
    <row r="63">
      <c r="A63" s="17" t="inlineStr">
        <is>
          <t>prm_talk_lck</t>
        </is>
      </c>
      <c r="B63" s="17" t="n">
        <v>3</v>
      </c>
      <c r="C63" s="17" t="n"/>
      <c r="D63" s="17" t="inlineStr">
        <is>
          <t>Talk: + this many percent per point of the speaker's Lck.</t>
        </is>
      </c>
    </row>
    <row r="64">
      <c r="A64" s="17" t="inlineStr">
        <is>
          <t>prm_talk_level</t>
        </is>
      </c>
      <c r="B64" s="17" t="n">
        <v>2</v>
      </c>
      <c r="C64" s="17" t="n"/>
      <c r="D64" s="17" t="inlineStr">
        <is>
          <t>Talk: + this many percent per level the speaker is above the enemy (minus per level below).</t>
        </is>
      </c>
    </row>
    <row r="65">
      <c r="A65" s="17" t="inlineStr">
        <is>
          <t>prm_talk_min</t>
        </is>
      </c>
      <c r="B65" s="17" t="n">
        <v>5</v>
      </c>
      <c r="C65" s="17" t="n"/>
      <c r="D65" s="17" t="inlineStr">
        <is>
          <t>Talk: the chance never drops below this percent.</t>
        </is>
      </c>
    </row>
    <row r="66">
      <c r="A66" s="17" t="inlineStr">
        <is>
          <t>prm_talk_max</t>
        </is>
      </c>
      <c r="B66" s="17" t="n">
        <v>95</v>
      </c>
      <c r="C66" s="17" t="n"/>
      <c r="D66" s="17" t="inlineStr">
        <is>
          <t>Talk: the chance never rises above this percent.</t>
        </is>
      </c>
    </row>
    <row r="67">
      <c r="A67" s="17" t="inlineStr">
        <is>
          <t>prm_income_per_rout</t>
        </is>
      </c>
      <c r="B67" s="17" t="n">
        <v>10</v>
      </c>
      <c r="C67" s="17" t="n"/>
      <c r="D67" s="17" t="inlineStr">
        <is>
          <t>Extra gold per enemy that fled the field (routed) rather than being defeated, captured or talked down.</t>
        </is>
      </c>
    </row>
    <row r="68">
      <c r="A68" s="17" t="inlineStr">
        <is>
          <t>prm_income_per_talk</t>
        </is>
      </c>
      <c r="B68" s="17" t="n">
        <v>20</v>
      </c>
      <c r="C68" s="17" t="n"/>
      <c r="D68" s="17" t="inlineStr">
        <is>
          <t>Extra gold per enemy talked down.</t>
        </is>
      </c>
    </row>
    <row r="69">
      <c r="A69" s="17" t="inlineStr">
        <is>
          <t>prm_master_works_cap</t>
        </is>
      </c>
      <c r="B69" s="17" t="n">
        <v>3</v>
      </c>
      <c r="C69" s="17" t="n"/>
      <c r="D69" s="17" t="inlineStr">
        <is>
          <t>Forge: master works a playthrough may commission (canon: a hard cap of 3 against 5 possible drops).</t>
        </is>
      </c>
    </row>
    <row r="70">
      <c r="A70" s="17" t="inlineStr">
        <is>
          <t>prm_forge_heal</t>
        </is>
      </c>
      <c r="B70" s="17" t="n">
        <v>5</v>
      </c>
      <c r="C70" s="17" t="n"/>
      <c r="D70" s="17" t="inlineStr">
        <is>
          <t>Forge: HP the Feather Blade restores to each ally beside its wielder on a hit (canon's Simurgh: 5 HP, flat).</t>
        </is>
      </c>
    </row>
    <row r="71">
      <c r="A71" s="17" t="inlineStr">
        <is>
          <t>prm_diminished_uses_pct</t>
        </is>
      </c>
      <c r="B71" s="17" t="n">
        <v>50</v>
      </c>
      <c r="C71" s="17" t="n"/>
      <c r="D71" s="17" t="inlineStr">
        <is>
          <t>Forge: a weapon made from a harvested (captured, diminished) material has this percent of the usual uses.</t>
        </is>
      </c>
    </row>
    <row r="72">
      <c r="A72" s="17" t="inlineStr">
        <is>
          <t>prm_guest_level_gap</t>
        </is>
      </c>
      <c r="B72" s="17" t="n">
        <v>2</v>
      </c>
      <c r="C72" s="17" t="n"/>
      <c r="D72" s="17" t="inlineStr">
        <is>
          <t>A guest unit (Anna) joins this many levels under the squad's median, from her class's trained baseline grown by her profile's expected rates.</t>
        </is>
      </c>
    </row>
    <row r="73">
      <c r="A73" s="17" t="inlineStr">
        <is>
          <t>prm_surveyor_radius</t>
        </is>
      </c>
      <c r="B73" s="17" t="n">
        <v>4</v>
      </c>
      <c r="C73" s="17" t="n"/>
      <c r="D73" s="17" t="inlineStr">
        <is>
          <t>Deputy scoring: an action is 'witnessed' if the unit that did it is within this many tiles of the surveyor (the camp, the middle of the deploy row).</t>
        </is>
      </c>
    </row>
    <row r="74">
      <c r="A74" s="17" t="inlineStr">
        <is>
          <t>prm_column_b_supply_gold</t>
        </is>
      </c>
      <c r="B74" s="17" t="n">
        <v>100</v>
      </c>
      <c r="C74" s="17" t="n"/>
      <c r="D74" s="17" t="inlineStr">
        <is>
          <t>Deputy scoring: the Column B supply attachment, drafted as this much gold on each Column B chapter newly won -- withheld if the player contested the crown's choice of deputy at the writ scene.</t>
        </is>
      </c>
    </row>
    <row r="75">
      <c r="A75" s="17" t="inlineStr">
        <is>
          <t>prm_weapon_marks_max</t>
        </is>
      </c>
      <c r="B75" s="17" t="n">
        <v>3</v>
      </c>
      <c r="C75" s="17" t="n"/>
      <c r="D75" s="17" t="inlineStr">
        <is>
          <t>Weapon names: the most marks (deeds earned with it) a weapon keeps; the oldest is dropped for a new one.</t>
        </is>
      </c>
    </row>
    <row r="76">
      <c r="A76" s="17" t="inlineStr">
        <is>
          <t>prm_reforge_fee</t>
        </is>
      </c>
      <c r="B76" s="17" t="n">
        <v>150</v>
      </c>
      <c r="C76" s="17" t="n"/>
      <c r="D76" s="17" t="inlineStr">
        <is>
          <t>Weapon names: gold a master smith charges to reforge a marked weapon from the convoy, clearing its marks.</t>
        </is>
      </c>
    </row>
    <row r="77">
      <c r="A77" s="17" t="inlineStr">
        <is>
          <t>prm_sapper_charges</t>
        </is>
      </c>
      <c r="B77" s="17" t="n">
        <v>3</v>
      </c>
      <c r="C77" s="17" t="n"/>
      <c r="D77" s="17" t="inlineStr">
        <is>
          <t>Sapper: charges a Sapper has on one map, shared between Breach and Mine.</t>
        </is>
      </c>
    </row>
    <row r="78">
      <c r="A78" s="17" t="inlineStr">
        <is>
          <t>prm_mine_damage</t>
        </is>
      </c>
      <c r="B78" s="17" t="n">
        <v>12</v>
      </c>
      <c r="C78" s="17" t="n"/>
      <c r="D78" s="17" t="inlineStr">
        <is>
          <t>Sapper: flat damage a mine does to the first enemy that ends a move on it (a bit under a steel sword hit).</t>
        </is>
      </c>
    </row>
    <row r="79">
      <c r="A79" s="17" t="inlineStr">
        <is>
          <t>NOTE -- draft promotion/levelling/income parameters, review before treating as canon. Everything here is a design proposal (PROMOTION_DESIGN.md), not sourced from the setting; numbers are tuned for playtesting. Drafted by a Claude Code session, 2026-10-05. ADDENDUM (2026-10-06): paragon-tier parameters (level 30, one deed, 1000 gold + 150 a level, +30 stat jump, +5 more growth, +1 slot) and the deed-tracking thresholds. ADDENDUM (2026-10-07): Capture action parameters (capture_hp_pct, income_per_capture). ADDENDUM (2026-10-08): Shove/Smite parameters (shove_distance, smite_distance, shove_armor_resist). ADDENDUM (2026-10-09): collision_pct (Shove/Smite collision damage). ADDENDUM (2026-10-10): Bribe parameters (bribe_cost_base, bribe_cost_per_level, bribe_per_map). ADDENDUM (2026-10-12): delivery_radius. ADDENDUM (2026-10-13): Talk parameters and the rout/talk income rates. ADDENDUM (2026-10-17): forge parameters. ADDENDUM (2026-10-18): guest_level_gap. ADDENDUM (2026-10-19): deputy scoring parameters. ADDENDUM (2026-10-20): weapon-name parameters (weapon_marks_max, reforge_fee). ADDENDUM (2026-10-21): Sapper parameters (sapper_charges, mine_damage).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20" customWidth="1" style="18" min="1" max="1"/>
    <col width="18" customWidth="1" style="18" min="2" max="2"/>
    <col width="34" customWidth="1" style="18" min="3" max="3"/>
    <col width="12" customWidth="1" style="18" min="4" max="4"/>
    <col width="6" customWidth="1" style="18" min="5" max="5"/>
    <col width="7" customWidth="1" style="18" min="6" max="6"/>
    <col width="6" customWidth="1" style="18" min="7" max="7"/>
    <col width="7" customWidth="1" style="18" min="8" max="8"/>
    <col width="6" customWidth="1" style="18" min="9" max="9"/>
    <col width="7" customWidth="1" style="18" min="10" max="10"/>
    <col width="7" customWidth="1" style="18" min="11" max="11"/>
    <col width="8" customWidth="1" style="18" min="12" max="12"/>
    <col width="70" customWidth="1" style="18" min="13" max="13"/>
  </cols>
  <sheetData>
    <row r="1">
      <c r="A1" s="26" t="inlineStr">
        <is>
          <t>ability_id</t>
        </is>
      </c>
      <c r="B1" s="26" t="inlineStr">
        <is>
          <t>name</t>
        </is>
      </c>
      <c r="C1" s="26" t="inlineStr">
        <is>
          <t>pool</t>
        </is>
      </c>
      <c r="D1" s="26" t="inlineStr">
        <is>
          <t>cond</t>
        </is>
      </c>
      <c r="E1" s="26" t="inlineStr">
        <is>
          <t>hit</t>
        </is>
      </c>
      <c r="F1" s="26" t="inlineStr">
        <is>
          <t>avoid</t>
        </is>
      </c>
      <c r="G1" s="26" t="inlineStr">
        <is>
          <t>crit</t>
        </is>
      </c>
      <c r="H1" s="26" t="inlineStr">
        <is>
          <t>dodge</t>
        </is>
      </c>
      <c r="I1" s="26" t="inlineStr">
        <is>
          <t>dmg</t>
        </is>
      </c>
      <c r="J1" s="26" t="inlineStr">
        <is>
          <t>guard</t>
        </is>
      </c>
      <c r="K1" s="26" t="inlineStr">
        <is>
          <t>speed</t>
        </is>
      </c>
      <c r="L1" s="26" t="inlineStr">
        <is>
          <t>exp_pct</t>
        </is>
      </c>
      <c r="M1" s="26" t="inlineStr">
        <is>
          <t>notes</t>
        </is>
      </c>
    </row>
    <row r="2">
      <c r="A2" s="17" t="inlineStr">
        <is>
          <t>ab_steady_hand</t>
        </is>
      </c>
      <c r="B2" s="17" t="inlineStr">
        <is>
          <t>Steady Hand</t>
        </is>
      </c>
      <c r="C2" s="17" t="inlineStr">
        <is>
          <t>any</t>
        </is>
      </c>
      <c r="D2" s="17" t="inlineStr">
        <is>
          <t>always</t>
        </is>
      </c>
      <c r="E2" s="17" t="n">
        <v>5</v>
      </c>
      <c r="F2" s="17" t="n">
        <v>5</v>
      </c>
      <c r="G2" s="17" t="n">
        <v>0</v>
      </c>
      <c r="H2" s="17" t="n">
        <v>0</v>
      </c>
      <c r="I2" s="17" t="n">
        <v>0</v>
      </c>
      <c r="J2" s="17" t="n">
        <v>0</v>
      </c>
      <c r="K2" s="17" t="n">
        <v>0</v>
      </c>
      <c r="L2" s="17" t="n">
        <v>0</v>
      </c>
      <c r="M2" s="17" t="inlineStr">
        <is>
          <t>Generic: a little accuracy and evasion.</t>
        </is>
      </c>
    </row>
    <row r="3">
      <c r="A3" s="17" t="inlineStr">
        <is>
          <t>ab_last_stand</t>
        </is>
      </c>
      <c r="B3" s="17" t="inlineStr">
        <is>
          <t>Last Stand</t>
        </is>
      </c>
      <c r="C3" s="17" t="inlineStr">
        <is>
          <t>any</t>
        </is>
      </c>
      <c r="D3" s="17" t="inlineStr">
        <is>
          <t>hp_low</t>
        </is>
      </c>
      <c r="E3" s="17" t="n">
        <v>0</v>
      </c>
      <c r="F3" s="17" t="n">
        <v>0</v>
      </c>
      <c r="G3" s="17" t="n">
        <v>0</v>
      </c>
      <c r="H3" s="17" t="n">
        <v>0</v>
      </c>
      <c r="I3" s="17" t="n">
        <v>3</v>
      </c>
      <c r="J3" s="17" t="n">
        <v>2</v>
      </c>
      <c r="K3" s="17" t="n">
        <v>0</v>
      </c>
      <c r="L3" s="17" t="n">
        <v>0</v>
      </c>
      <c r="M3" s="17" t="inlineStr">
        <is>
          <t>Generic: at half HP or less, hits harder and takes less.</t>
        </is>
      </c>
    </row>
    <row r="4">
      <c r="A4" s="17" t="inlineStr">
        <is>
          <t>ab_quick_study</t>
        </is>
      </c>
      <c r="B4" s="17" t="inlineStr">
        <is>
          <t>Quick Study</t>
        </is>
      </c>
      <c r="C4" s="17" t="inlineStr">
        <is>
          <t>any</t>
        </is>
      </c>
      <c r="D4" s="17" t="inlineStr">
        <is>
          <t>always</t>
        </is>
      </c>
      <c r="E4" s="17" t="n">
        <v>0</v>
      </c>
      <c r="F4" s="17" t="n">
        <v>0</v>
      </c>
      <c r="G4" s="17" t="n">
        <v>0</v>
      </c>
      <c r="H4" s="17" t="n">
        <v>0</v>
      </c>
      <c r="I4" s="17" t="n">
        <v>0</v>
      </c>
      <c r="J4" s="17" t="n">
        <v>0</v>
      </c>
      <c r="K4" s="17" t="n">
        <v>0</v>
      </c>
      <c r="L4" s="17" t="n">
        <v>15</v>
      </c>
      <c r="M4" s="17" t="inlineStr">
        <is>
          <t>Generic: +15% EXP -- the late joiner's way to close a gap.</t>
        </is>
      </c>
    </row>
    <row r="5">
      <c r="A5" s="17" t="inlineStr">
        <is>
          <t>ab_focus_sword</t>
        </is>
      </c>
      <c r="B5" s="17" t="inlineStr">
        <is>
          <t>Sword Focus</t>
        </is>
      </c>
      <c r="C5" s="17" t="inlineStr">
        <is>
          <t>art:sword</t>
        </is>
      </c>
      <c r="D5" s="17" t="inlineStr">
        <is>
          <t>art:sword</t>
        </is>
      </c>
      <c r="E5" s="17" t="n">
        <v>8</v>
      </c>
      <c r="F5" s="17" t="n">
        <v>0</v>
      </c>
      <c r="G5" s="17" t="n">
        <v>2</v>
      </c>
      <c r="H5" s="17" t="n">
        <v>0</v>
      </c>
      <c r="I5" s="17" t="n">
        <v>0</v>
      </c>
      <c r="J5" s="17" t="n">
        <v>0</v>
      </c>
      <c r="K5" s="17" t="n">
        <v>0</v>
      </c>
      <c r="L5" s="17" t="n">
        <v>0</v>
      </c>
      <c r="M5" s="17" t="inlineStr">
        <is>
          <t>Accuracy and crit while wielding a sword weapon. Open to any class that knows the art, so a hybrid has two to choose from.</t>
        </is>
      </c>
    </row>
    <row r="6">
      <c r="A6" s="17" t="inlineStr">
        <is>
          <t>ab_focus_lance</t>
        </is>
      </c>
      <c r="B6" s="17" t="inlineStr">
        <is>
          <t>Lance Focus</t>
        </is>
      </c>
      <c r="C6" s="17" t="inlineStr">
        <is>
          <t>art:lance</t>
        </is>
      </c>
      <c r="D6" s="17" t="inlineStr">
        <is>
          <t>art:lance</t>
        </is>
      </c>
      <c r="E6" s="17" t="n">
        <v>8</v>
      </c>
      <c r="F6" s="17" t="n">
        <v>0</v>
      </c>
      <c r="G6" s="17" t="n">
        <v>2</v>
      </c>
      <c r="H6" s="17" t="n">
        <v>0</v>
      </c>
      <c r="I6" s="17" t="n">
        <v>0</v>
      </c>
      <c r="J6" s="17" t="n">
        <v>0</v>
      </c>
      <c r="K6" s="17" t="n">
        <v>0</v>
      </c>
      <c r="L6" s="17" t="n">
        <v>0</v>
      </c>
      <c r="M6" s="17" t="inlineStr">
        <is>
          <t>Accuracy and crit while wielding a lance weapon. Open to any class that knows the art, so a hybrid has two to choose from.</t>
        </is>
      </c>
    </row>
    <row r="7">
      <c r="A7" s="17" t="inlineStr">
        <is>
          <t>ab_focus_axe</t>
        </is>
      </c>
      <c r="B7" s="17" t="inlineStr">
        <is>
          <t>Axe Focus</t>
        </is>
      </c>
      <c r="C7" s="17" t="inlineStr">
        <is>
          <t>art:axe</t>
        </is>
      </c>
      <c r="D7" s="17" t="inlineStr">
        <is>
          <t>art:axe</t>
        </is>
      </c>
      <c r="E7" s="17" t="n">
        <v>8</v>
      </c>
      <c r="F7" s="17" t="n">
        <v>0</v>
      </c>
      <c r="G7" s="17" t="n">
        <v>2</v>
      </c>
      <c r="H7" s="17" t="n">
        <v>0</v>
      </c>
      <c r="I7" s="17" t="n">
        <v>0</v>
      </c>
      <c r="J7" s="17" t="n">
        <v>0</v>
      </c>
      <c r="K7" s="17" t="n">
        <v>0</v>
      </c>
      <c r="L7" s="17" t="n">
        <v>0</v>
      </c>
      <c r="M7" s="17" t="inlineStr">
        <is>
          <t>Accuracy and crit while wielding a axe weapon. Open to any class that knows the art, so a hybrid has two to choose from.</t>
        </is>
      </c>
    </row>
    <row r="8">
      <c r="A8" s="17" t="inlineStr">
        <is>
          <t>ab_focus_bow</t>
        </is>
      </c>
      <c r="B8" s="17" t="inlineStr">
        <is>
          <t>Bow Focus</t>
        </is>
      </c>
      <c r="C8" s="17" t="inlineStr">
        <is>
          <t>art:bow</t>
        </is>
      </c>
      <c r="D8" s="17" t="inlineStr">
        <is>
          <t>art:bow</t>
        </is>
      </c>
      <c r="E8" s="17" t="n">
        <v>8</v>
      </c>
      <c r="F8" s="17" t="n">
        <v>0</v>
      </c>
      <c r="G8" s="17" t="n">
        <v>2</v>
      </c>
      <c r="H8" s="17" t="n">
        <v>0</v>
      </c>
      <c r="I8" s="17" t="n">
        <v>0</v>
      </c>
      <c r="J8" s="17" t="n">
        <v>0</v>
      </c>
      <c r="K8" s="17" t="n">
        <v>0</v>
      </c>
      <c r="L8" s="17" t="n">
        <v>0</v>
      </c>
      <c r="M8" s="17" t="inlineStr">
        <is>
          <t>Accuracy and crit while wielding a bow weapon. Open to any class that knows the art, so a hybrid has two to choose from.</t>
        </is>
      </c>
    </row>
    <row r="9">
      <c r="A9" s="17" t="inlineStr">
        <is>
          <t>ab_focus_brawl</t>
        </is>
      </c>
      <c r="B9" s="17" t="inlineStr">
        <is>
          <t>Brawl Focus</t>
        </is>
      </c>
      <c r="C9" s="17" t="inlineStr">
        <is>
          <t>art:brawl</t>
        </is>
      </c>
      <c r="D9" s="17" t="inlineStr">
        <is>
          <t>art:brawl</t>
        </is>
      </c>
      <c r="E9" s="17" t="n">
        <v>8</v>
      </c>
      <c r="F9" s="17" t="n">
        <v>0</v>
      </c>
      <c r="G9" s="17" t="n">
        <v>2</v>
      </c>
      <c r="H9" s="17" t="n">
        <v>0</v>
      </c>
      <c r="I9" s="17" t="n">
        <v>0</v>
      </c>
      <c r="J9" s="17" t="n">
        <v>0</v>
      </c>
      <c r="K9" s="17" t="n">
        <v>0</v>
      </c>
      <c r="L9" s="17" t="n">
        <v>0</v>
      </c>
      <c r="M9" s="17" t="inlineStr">
        <is>
          <t>Accuracy and crit while wielding a brawl weapon. Open to any class that knows the art, so a hybrid has two to choose from.</t>
        </is>
      </c>
    </row>
    <row r="10">
      <c r="A10" s="17" t="inlineStr">
        <is>
          <t>ab_focus_reason</t>
        </is>
      </c>
      <c r="B10" s="17" t="inlineStr">
        <is>
          <t>Reason Focus</t>
        </is>
      </c>
      <c r="C10" s="17" t="inlineStr">
        <is>
          <t>art:reason</t>
        </is>
      </c>
      <c r="D10" s="17" t="inlineStr">
        <is>
          <t>art:reason</t>
        </is>
      </c>
      <c r="E10" s="17" t="n">
        <v>8</v>
      </c>
      <c r="F10" s="17" t="n">
        <v>0</v>
      </c>
      <c r="G10" s="17" t="n">
        <v>2</v>
      </c>
      <c r="H10" s="17" t="n">
        <v>0</v>
      </c>
      <c r="I10" s="17" t="n">
        <v>0</v>
      </c>
      <c r="J10" s="17" t="n">
        <v>0</v>
      </c>
      <c r="K10" s="17" t="n">
        <v>0</v>
      </c>
      <c r="L10" s="17" t="n">
        <v>0</v>
      </c>
      <c r="M10" s="17" t="inlineStr">
        <is>
          <t>Accuracy and crit while wielding a reason weapon. Open to any class that knows the art, so a hybrid has two to choose from.</t>
        </is>
      </c>
    </row>
    <row r="11">
      <c r="A11" s="17" t="inlineStr">
        <is>
          <t>ab_focus_faith</t>
        </is>
      </c>
      <c r="B11" s="17" t="inlineStr">
        <is>
          <t>Faith Focus</t>
        </is>
      </c>
      <c r="C11" s="17" t="inlineStr">
        <is>
          <t>art:faith</t>
        </is>
      </c>
      <c r="D11" s="17" t="inlineStr">
        <is>
          <t>art:faith</t>
        </is>
      </c>
      <c r="E11" s="17" t="n">
        <v>8</v>
      </c>
      <c r="F11" s="17" t="n">
        <v>0</v>
      </c>
      <c r="G11" s="17" t="n">
        <v>2</v>
      </c>
      <c r="H11" s="17" t="n">
        <v>0</v>
      </c>
      <c r="I11" s="17" t="n">
        <v>0</v>
      </c>
      <c r="J11" s="17" t="n">
        <v>0</v>
      </c>
      <c r="K11" s="17" t="n">
        <v>0</v>
      </c>
      <c r="L11" s="17" t="n">
        <v>0</v>
      </c>
      <c r="M11" s="17" t="inlineStr">
        <is>
          <t>Accuracy and crit while wielding a faith weapon. Open to any class that knows the art, so a hybrid has two to choose from.</t>
        </is>
      </c>
    </row>
    <row r="12">
      <c r="A12" s="17" t="inlineStr">
        <is>
          <t>ab_skirmisher</t>
        </is>
      </c>
      <c r="B12" s="17" t="inlineStr">
        <is>
          <t>Skirmisher</t>
        </is>
      </c>
      <c r="C12" s="17" t="inlineStr">
        <is>
          <t>move:infantry</t>
        </is>
      </c>
      <c r="D12" s="17" t="inlineStr">
        <is>
          <t>always</t>
        </is>
      </c>
      <c r="E12" s="17" t="n">
        <v>0</v>
      </c>
      <c r="F12" s="17" t="n">
        <v>0</v>
      </c>
      <c r="G12" s="17" t="n">
        <v>0</v>
      </c>
      <c r="H12" s="17" t="n">
        <v>0</v>
      </c>
      <c r="I12" s="17" t="n">
        <v>0</v>
      </c>
      <c r="J12" s="17" t="n">
        <v>0</v>
      </c>
      <c r="K12" s="17" t="n">
        <v>2</v>
      </c>
      <c r="L12" s="17" t="n">
        <v>0</v>
      </c>
      <c r="M12" s="17" t="inlineStr">
        <is>
          <t>Foot units: quicker on their feet.</t>
        </is>
      </c>
    </row>
    <row r="13">
      <c r="A13" s="17" t="inlineStr">
        <is>
          <t>ab_charge</t>
        </is>
      </c>
      <c r="B13" s="17" t="inlineStr">
        <is>
          <t>Charge</t>
        </is>
      </c>
      <c r="C13" s="17" t="inlineStr">
        <is>
          <t>move:riding|class:cls_bogatyr</t>
        </is>
      </c>
      <c r="D13" s="17" t="inlineStr">
        <is>
          <t>hp_full</t>
        </is>
      </c>
      <c r="E13" s="17" t="n">
        <v>0</v>
      </c>
      <c r="F13" s="17" t="n">
        <v>0</v>
      </c>
      <c r="G13" s="17" t="n">
        <v>0</v>
      </c>
      <c r="H13" s="17" t="n">
        <v>0</v>
      </c>
      <c r="I13" s="17" t="n">
        <v>3</v>
      </c>
      <c r="J13" s="17" t="n">
        <v>0</v>
      </c>
      <c r="K13" s="17" t="n">
        <v>0</v>
      </c>
      <c r="L13" s="17" t="n">
        <v>0</v>
      </c>
      <c r="M13" s="17" t="inlineStr">
        <is>
          <t>Riders at full HP strike harder.</t>
        </is>
      </c>
    </row>
    <row r="14">
      <c r="A14" s="17" t="inlineStr">
        <is>
          <t>ab_bulwark</t>
        </is>
      </c>
      <c r="B14" s="17" t="inlineStr">
        <is>
          <t>Bulwark</t>
        </is>
      </c>
      <c r="C14" s="17" t="inlineStr">
        <is>
          <t>move:armor</t>
        </is>
      </c>
      <c r="D14" s="17" t="inlineStr">
        <is>
          <t>always</t>
        </is>
      </c>
      <c r="E14" s="17" t="n">
        <v>0</v>
      </c>
      <c r="F14" s="17" t="n">
        <v>0</v>
      </c>
      <c r="G14" s="17" t="n">
        <v>0</v>
      </c>
      <c r="H14" s="17" t="n">
        <v>0</v>
      </c>
      <c r="I14" s="17" t="n">
        <v>0</v>
      </c>
      <c r="J14" s="17" t="n">
        <v>2</v>
      </c>
      <c r="K14" s="17" t="n">
        <v>0</v>
      </c>
      <c r="L14" s="17" t="n">
        <v>0</v>
      </c>
      <c r="M14" s="17" t="inlineStr">
        <is>
          <t>Armor: takes less from every hit.</t>
        </is>
      </c>
    </row>
    <row r="15">
      <c r="A15" s="17" t="inlineStr">
        <is>
          <t>ab_skyborne</t>
        </is>
      </c>
      <c r="B15" s="17" t="inlineStr">
        <is>
          <t>Skyborne</t>
        </is>
      </c>
      <c r="C15" s="17" t="inlineStr">
        <is>
          <t>move:flying</t>
        </is>
      </c>
      <c r="D15" s="17" t="inlineStr">
        <is>
          <t>always</t>
        </is>
      </c>
      <c r="E15" s="17" t="n">
        <v>0</v>
      </c>
      <c r="F15" s="17" t="n">
        <v>8</v>
      </c>
      <c r="G15" s="17" t="n">
        <v>0</v>
      </c>
      <c r="H15" s="17" t="n">
        <v>3</v>
      </c>
      <c r="I15" s="17" t="n">
        <v>0</v>
      </c>
      <c r="J15" s="17" t="n">
        <v>0</v>
      </c>
      <c r="K15" s="17" t="n">
        <v>0</v>
      </c>
      <c r="L15" s="17" t="n">
        <v>0</v>
      </c>
      <c r="M15" s="17" t="inlineStr">
        <is>
          <t>Fliers: hard to hit.</t>
        </is>
      </c>
    </row>
    <row r="16">
      <c r="A16" s="17" t="inlineStr">
        <is>
          <t>ab_smite</t>
        </is>
      </c>
      <c r="B16" s="17" t="inlineStr">
        <is>
          <t>Smite</t>
        </is>
      </c>
      <c r="C16" s="17" t="inlineStr">
        <is>
          <t>class:cls_housecarl</t>
        </is>
      </c>
      <c r="D16" s="17" t="inlineStr">
        <is>
          <t>always</t>
        </is>
      </c>
      <c r="E16" s="17" t="n">
        <v>0</v>
      </c>
      <c r="F16" s="17" t="n">
        <v>0</v>
      </c>
      <c r="G16" s="17" t="n">
        <v>0</v>
      </c>
      <c r="H16" s="17" t="n">
        <v>0</v>
      </c>
      <c r="I16" s="17" t="n">
        <v>3</v>
      </c>
      <c r="J16" s="17" t="n">
        <v>0</v>
      </c>
      <c r="K16" s="17" t="n">
        <v>0</v>
      </c>
      <c r="L16" s="17" t="n">
        <v>0</v>
      </c>
      <c r="M16" s="17" t="inlineStr">
        <is>
          <t>Canon signature skill (Housecarl).</t>
        </is>
      </c>
    </row>
    <row r="17">
      <c r="A17" s="17" t="inlineStr">
        <is>
          <t>ab_stake</t>
        </is>
      </c>
      <c r="B17" s="17" t="inlineStr">
        <is>
          <t>Stake</t>
        </is>
      </c>
      <c r="C17" s="17" t="inlineStr">
        <is>
          <t>class:cls_pavisier</t>
        </is>
      </c>
      <c r="D17" s="17" t="inlineStr">
        <is>
          <t>vs_riding</t>
        </is>
      </c>
      <c r="E17" s="17" t="n">
        <v>10</v>
      </c>
      <c r="F17" s="17" t="n">
        <v>0</v>
      </c>
      <c r="G17" s="17" t="n">
        <v>0</v>
      </c>
      <c r="H17" s="17" t="n">
        <v>0</v>
      </c>
      <c r="I17" s="17" t="n">
        <v>4</v>
      </c>
      <c r="J17" s="17" t="n">
        <v>0</v>
      </c>
      <c r="K17" s="17" t="n">
        <v>0</v>
      </c>
      <c r="L17" s="17" t="n">
        <v>0</v>
      </c>
      <c r="M17" s="17" t="inlineStr">
        <is>
          <t>Canon signature skill (Pavisier): the stake pit -- anti-cavalry.</t>
        </is>
      </c>
    </row>
    <row r="18">
      <c r="A18" s="17" t="inlineStr">
        <is>
          <t>ab_resolve</t>
        </is>
      </c>
      <c r="B18" s="17" t="inlineStr">
        <is>
          <t>Resolve</t>
        </is>
      </c>
      <c r="C18" s="17" t="inlineStr">
        <is>
          <t>class:cls_war_monk|class:cls_martyr</t>
        </is>
      </c>
      <c r="D18" s="17" t="inlineStr">
        <is>
          <t>hp_low</t>
        </is>
      </c>
      <c r="E18" s="17" t="n">
        <v>0</v>
      </c>
      <c r="F18" s="17" t="n">
        <v>10</v>
      </c>
      <c r="G18" s="17" t="n">
        <v>0</v>
      </c>
      <c r="H18" s="17" t="n">
        <v>0</v>
      </c>
      <c r="I18" s="17" t="n">
        <v>0</v>
      </c>
      <c r="J18" s="17" t="n">
        <v>3</v>
      </c>
      <c r="K18" s="17" t="n">
        <v>0</v>
      </c>
      <c r="L18" s="17" t="n">
        <v>0</v>
      </c>
      <c r="M18" s="17" t="inlineStr">
        <is>
          <t>Canon signature skill (War monk, Martyr): stands firmer when hurt.</t>
        </is>
      </c>
    </row>
    <row r="19">
      <c r="A19" s="17" t="inlineStr">
        <is>
          <t>ab_pavise</t>
        </is>
      </c>
      <c r="B19" s="17" t="inlineStr">
        <is>
          <t>Pavise</t>
        </is>
      </c>
      <c r="C19" s="17" t="inlineStr">
        <is>
          <t>class:cls_great_shield</t>
        </is>
      </c>
      <c r="D19" s="17" t="inlineStr">
        <is>
          <t>always</t>
        </is>
      </c>
      <c r="E19" s="17" t="n">
        <v>0</v>
      </c>
      <c r="F19" s="17" t="n">
        <v>0</v>
      </c>
      <c r="G19" s="17" t="n">
        <v>0</v>
      </c>
      <c r="H19" s="17" t="n">
        <v>0</v>
      </c>
      <c r="I19" s="17" t="n">
        <v>0</v>
      </c>
      <c r="J19" s="17" t="n">
        <v>3</v>
      </c>
      <c r="K19" s="17" t="n">
        <v>0</v>
      </c>
      <c r="L19" s="17" t="n">
        <v>0</v>
      </c>
      <c r="M19" s="17" t="inlineStr">
        <is>
          <t>Canon signature skill (Great shield, 'Pavise/Aegis').</t>
        </is>
      </c>
    </row>
    <row r="20">
      <c r="A20" s="17" t="inlineStr">
        <is>
          <t>ab_jump_lunge</t>
        </is>
      </c>
      <c r="B20" s="17" t="inlineStr">
        <is>
          <t>Jump-lunge</t>
        </is>
      </c>
      <c r="C20" s="17" t="inlineStr">
        <is>
          <t>class:cls_dragoon</t>
        </is>
      </c>
      <c r="D20" s="17" t="inlineStr">
        <is>
          <t>always</t>
        </is>
      </c>
      <c r="E20" s="17" t="n">
        <v>5</v>
      </c>
      <c r="F20" s="17" t="n">
        <v>0</v>
      </c>
      <c r="G20" s="17" t="n">
        <v>0</v>
      </c>
      <c r="H20" s="17" t="n">
        <v>0</v>
      </c>
      <c r="I20" s="17" t="n">
        <v>2</v>
      </c>
      <c r="J20" s="17" t="n">
        <v>0</v>
      </c>
      <c r="K20" s="17" t="n">
        <v>0</v>
      </c>
      <c r="L20" s="17" t="n">
        <v>0</v>
      </c>
      <c r="M20" s="17" t="inlineStr">
        <is>
          <t>Canon signature skill (Dragoon).</t>
        </is>
      </c>
    </row>
    <row r="21">
      <c r="A21" s="17" t="inlineStr">
        <is>
          <t>ab_casting_tank</t>
        </is>
      </c>
      <c r="B21" s="17" t="inlineStr">
        <is>
          <t>Casting Tank</t>
        </is>
      </c>
      <c r="C21" s="17" t="inlineStr">
        <is>
          <t>class:cls_baron</t>
        </is>
      </c>
      <c r="D21" s="17" t="inlineStr">
        <is>
          <t>always</t>
        </is>
      </c>
      <c r="E21" s="17" t="n">
        <v>0</v>
      </c>
      <c r="F21" s="17" t="n">
        <v>0</v>
      </c>
      <c r="G21" s="17" t="n">
        <v>0</v>
      </c>
      <c r="H21" s="17" t="n">
        <v>2</v>
      </c>
      <c r="I21" s="17" t="n">
        <v>0</v>
      </c>
      <c r="J21" s="17" t="n">
        <v>2</v>
      </c>
      <c r="K21" s="17" t="n">
        <v>0</v>
      </c>
      <c r="L21" s="17" t="n">
        <v>0</v>
      </c>
      <c r="M21" s="17" t="inlineStr">
        <is>
          <t>Canon note on Baron: 'casting tank (FE4 lineage)'.</t>
        </is>
      </c>
    </row>
    <row r="22">
      <c r="A22" s="17" t="inlineStr">
        <is>
          <t>ab_surveyor_kit</t>
        </is>
      </c>
      <c r="B22" s="17" t="inlineStr">
        <is>
          <t>Surveyor Kit</t>
        </is>
      </c>
      <c r="C22" s="17" t="inlineStr">
        <is>
          <t>class:cls_mage_knight</t>
        </is>
      </c>
      <c r="D22" s="17" t="inlineStr">
        <is>
          <t>always</t>
        </is>
      </c>
      <c r="E22" s="17" t="n">
        <v>10</v>
      </c>
      <c r="F22" s="17" t="n">
        <v>0</v>
      </c>
      <c r="G22" s="17" t="n">
        <v>0</v>
      </c>
      <c r="H22" s="17" t="n">
        <v>0</v>
      </c>
      <c r="I22" s="17" t="n">
        <v>0</v>
      </c>
      <c r="J22" s="17" t="n">
        <v>0</v>
      </c>
      <c r="K22" s="17" t="n">
        <v>0</v>
      </c>
      <c r="L22" s="17" t="n">
        <v>0</v>
      </c>
      <c r="M22" s="17" t="inlineStr">
        <is>
          <t>Canon note on Mage knight: 'surveyor kit'.</t>
        </is>
      </c>
    </row>
    <row r="23">
      <c r="A23" s="17" t="inlineStr">
        <is>
          <t>ab_paragon_mantle</t>
        </is>
      </c>
      <c r="B23" s="17" t="inlineStr">
        <is>
          <t>Paragon's Mantle</t>
        </is>
      </c>
      <c r="C23" s="17" t="inlineStr">
        <is>
          <t>class:cls_valkyrie</t>
        </is>
      </c>
      <c r="D23" s="17" t="inlineStr">
        <is>
          <t>always</t>
        </is>
      </c>
      <c r="E23" s="17" t="n">
        <v>5</v>
      </c>
      <c r="F23" s="17" t="n">
        <v>0</v>
      </c>
      <c r="G23" s="17" t="n">
        <v>5</v>
      </c>
      <c r="H23" s="17" t="n">
        <v>0</v>
      </c>
      <c r="I23" s="17" t="n">
        <v>0</v>
      </c>
      <c r="J23" s="17" t="n">
        <v>0</v>
      </c>
      <c r="K23" s="17" t="n">
        <v>0</v>
      </c>
      <c r="L23" s="17" t="n">
        <v>0</v>
      </c>
      <c r="M23" s="17" t="inlineStr">
        <is>
          <t>Canon signature skill 'Paragon' (Valkyrie); renamed here so it doesn't read as the paragon tier.</t>
        </is>
      </c>
    </row>
    <row r="24">
      <c r="A24" s="17" t="inlineStr">
        <is>
          <t>ab_carry</t>
        </is>
      </c>
      <c r="B24" s="17" t="inlineStr">
        <is>
          <t>Carry</t>
        </is>
      </c>
      <c r="C24" s="17" t="inlineStr">
        <is>
          <t>class:cls_ferryman</t>
        </is>
      </c>
      <c r="D24" s="17" t="inlineStr">
        <is>
          <t>always</t>
        </is>
      </c>
      <c r="E24" s="17" t="n">
        <v>0</v>
      </c>
      <c r="F24" s="17" t="n">
        <v>3</v>
      </c>
      <c r="G24" s="17" t="n">
        <v>0</v>
      </c>
      <c r="H24" s="17" t="n">
        <v>0</v>
      </c>
      <c r="I24" s="17" t="n">
        <v>0</v>
      </c>
      <c r="J24" s="17" t="n">
        <v>2</v>
      </c>
      <c r="K24" s="17" t="n">
        <v>0</v>
      </c>
      <c r="L24" s="17" t="n">
        <v>0</v>
      </c>
      <c r="M24" s="17" t="inlineStr">
        <is>
          <t>Canon note on Ferryman: 'carry'.</t>
        </is>
      </c>
    </row>
    <row r="25">
      <c r="A25" s="17" t="inlineStr">
        <is>
          <t>ab_seal_not_kill</t>
        </is>
      </c>
      <c r="B25" s="17" t="inlineStr">
        <is>
          <t>Seal, Not Kill</t>
        </is>
      </c>
      <c r="C25" s="17" t="inlineStr">
        <is>
          <t>class:cls_pardoner</t>
        </is>
      </c>
      <c r="D25" s="17" t="inlineStr">
        <is>
          <t>always</t>
        </is>
      </c>
      <c r="E25" s="17" t="n">
        <v>10</v>
      </c>
      <c r="F25" s="17" t="n">
        <v>0</v>
      </c>
      <c r="G25" s="17" t="n">
        <v>0</v>
      </c>
      <c r="H25" s="17" t="n">
        <v>5</v>
      </c>
      <c r="I25" s="17" t="n">
        <v>0</v>
      </c>
      <c r="J25" s="17" t="n">
        <v>0</v>
      </c>
      <c r="K25" s="17" t="n">
        <v>0</v>
      </c>
      <c r="L25" s="17" t="n">
        <v>0</v>
      </c>
      <c r="M25" s="17" t="inlineStr">
        <is>
          <t>Canon note on Pardoner: 'seal not kill'.</t>
        </is>
      </c>
    </row>
    <row r="26">
      <c r="A26" s="17" t="inlineStr">
        <is>
          <t>ab_ash_walk</t>
        </is>
      </c>
      <c r="B26" s="17" t="inlineStr">
        <is>
          <t>Ash-walk</t>
        </is>
      </c>
      <c r="C26" s="17" t="inlineStr">
        <is>
          <t>class:cls_ash_ascetic</t>
        </is>
      </c>
      <c r="D26" s="17" t="inlineStr">
        <is>
          <t>always</t>
        </is>
      </c>
      <c r="E26" s="17" t="n">
        <v>0</v>
      </c>
      <c r="F26" s="17" t="n">
        <v>10</v>
      </c>
      <c r="G26" s="17" t="n">
        <v>0</v>
      </c>
      <c r="H26" s="17" t="n">
        <v>5</v>
      </c>
      <c r="I26" s="17" t="n">
        <v>0</v>
      </c>
      <c r="J26" s="17" t="n">
        <v>0</v>
      </c>
      <c r="K26" s="17" t="n">
        <v>0</v>
      </c>
      <c r="L26" s="17" t="n">
        <v>0</v>
      </c>
      <c r="M26" s="17" t="inlineStr">
        <is>
          <t>Canon note on Ash Ascetic: the Stepped Coast.</t>
        </is>
      </c>
    </row>
    <row r="27">
      <c r="A27" s="17" t="inlineStr">
        <is>
          <t>ab_miasma</t>
        </is>
      </c>
      <c r="B27" s="17" t="inlineStr">
        <is>
          <t>Miasma</t>
        </is>
      </c>
      <c r="C27" s="17" t="inlineStr">
        <is>
          <t>class:cls_miasma_warden</t>
        </is>
      </c>
      <c r="D27" s="17" t="inlineStr">
        <is>
          <t>always</t>
        </is>
      </c>
      <c r="E27" s="17" t="n">
        <v>0</v>
      </c>
      <c r="F27" s="17" t="n">
        <v>0</v>
      </c>
      <c r="G27" s="17" t="n">
        <v>0</v>
      </c>
      <c r="H27" s="17" t="n">
        <v>0</v>
      </c>
      <c r="I27" s="17" t="n">
        <v>2</v>
      </c>
      <c r="J27" s="17" t="n">
        <v>2</v>
      </c>
      <c r="K27" s="17" t="n">
        <v>0</v>
      </c>
      <c r="L27" s="17" t="n">
        <v>0</v>
      </c>
      <c r="M27" s="17" t="inlineStr">
        <is>
          <t>Canon note on Miasma Warden: born of the plague.</t>
        </is>
      </c>
    </row>
    <row r="28">
      <c r="A28" s="17" t="inlineStr">
        <is>
          <t>ab_billhook</t>
        </is>
      </c>
      <c r="B28" s="17" t="inlineStr">
        <is>
          <t>Billhook</t>
        </is>
      </c>
      <c r="C28" s="17" t="inlineStr">
        <is>
          <t>class:cls_billman</t>
        </is>
      </c>
      <c r="D28" s="17" t="inlineStr">
        <is>
          <t>vs_riding</t>
        </is>
      </c>
      <c r="E28" s="17" t="n">
        <v>5</v>
      </c>
      <c r="F28" s="17" t="n">
        <v>0</v>
      </c>
      <c r="G28" s="17" t="n">
        <v>0</v>
      </c>
      <c r="H28" s="17" t="n">
        <v>0</v>
      </c>
      <c r="I28" s="17" t="n">
        <v>3</v>
      </c>
      <c r="J28" s="17" t="n">
        <v>0</v>
      </c>
      <c r="K28" s="17" t="n">
        <v>0</v>
      </c>
      <c r="L28" s="17" t="n">
        <v>0</v>
      </c>
      <c r="M28" s="17" t="inlineStr">
        <is>
          <t>Drafted with cls_billman: the hook that pulls riders down.</t>
        </is>
      </c>
    </row>
    <row r="29">
      <c r="A29" s="17" t="inlineStr">
        <is>
          <t>ab_orders</t>
        </is>
      </c>
      <c r="B29" s="17" t="inlineStr">
        <is>
          <t>Orders</t>
        </is>
      </c>
      <c r="C29" s="17" t="inlineStr">
        <is>
          <t>class:cls_strategist</t>
        </is>
      </c>
      <c r="D29" s="17" t="inlineStr">
        <is>
          <t>always</t>
        </is>
      </c>
      <c r="E29" s="17" t="n">
        <v>5</v>
      </c>
      <c r="F29" s="17" t="n">
        <v>5</v>
      </c>
      <c r="G29" s="17" t="n">
        <v>0</v>
      </c>
      <c r="H29" s="17" t="n">
        <v>0</v>
      </c>
      <c r="I29" s="17" t="n">
        <v>0</v>
      </c>
      <c r="J29" s="17" t="n">
        <v>0</v>
      </c>
      <c r="K29" s="17" t="n">
        <v>0</v>
      </c>
      <c r="L29" s="17" t="n">
        <v>0</v>
      </c>
      <c r="M29" s="17" t="inlineStr">
        <is>
          <t>Avatar: 'orders, not swords'.</t>
        </is>
      </c>
    </row>
    <row r="30">
      <c r="A30" s="17" t="inlineStr">
        <is>
          <t>ab_improvise</t>
        </is>
      </c>
      <c r="B30" s="17" t="inlineStr">
        <is>
          <t>Improvise</t>
        </is>
      </c>
      <c r="C30" s="17" t="inlineStr">
        <is>
          <t>class:cls_strategist</t>
        </is>
      </c>
      <c r="D30" s="17" t="inlineStr">
        <is>
          <t>always</t>
        </is>
      </c>
      <c r="E30" s="17" t="n">
        <v>0</v>
      </c>
      <c r="F30" s="17" t="n">
        <v>0</v>
      </c>
      <c r="G30" s="17" t="n">
        <v>0</v>
      </c>
      <c r="H30" s="17" t="n">
        <v>0</v>
      </c>
      <c r="I30" s="17" t="n">
        <v>1</v>
      </c>
      <c r="J30" s="17" t="n">
        <v>0</v>
      </c>
      <c r="K30" s="17" t="n">
        <v>1</v>
      </c>
      <c r="L30" s="17" t="n">
        <v>0</v>
      </c>
      <c r="M30" s="17" t="inlineStr">
        <is>
          <t>Avatar: adapts mid-fight.</t>
        </is>
      </c>
    </row>
    <row r="31">
      <c r="A31" s="17" t="inlineStr">
        <is>
          <t>ab_deadshot</t>
        </is>
      </c>
      <c r="B31" s="17" t="inlineStr">
        <is>
          <t>Deadshot</t>
        </is>
      </c>
      <c r="C31" s="17" t="inlineStr">
        <is>
          <t>class:cls_bounty_hunter</t>
        </is>
      </c>
      <c r="D31" s="17" t="inlineStr">
        <is>
          <t>art:bow</t>
        </is>
      </c>
      <c r="E31" s="17" t="n">
        <v>10</v>
      </c>
      <c r="F31" s="17" t="n">
        <v>0</v>
      </c>
      <c r="G31" s="17" t="n">
        <v>5</v>
      </c>
      <c r="H31" s="17" t="n">
        <v>0</v>
      </c>
      <c r="I31" s="17" t="n">
        <v>0</v>
      </c>
      <c r="J31" s="17" t="n">
        <v>0</v>
      </c>
      <c r="K31" s="17" t="n">
        <v>0</v>
      </c>
      <c r="L31" s="17" t="n">
        <v>0</v>
      </c>
      <c r="M31" s="17" t="inlineStr">
        <is>
          <t>Gunnar: 'crossbow-certified'.</t>
        </is>
      </c>
    </row>
    <row r="32">
      <c r="A32" s="17" t="inlineStr">
        <is>
          <t>ab_epithet_aura</t>
        </is>
      </c>
      <c r="B32" s="17" t="inlineStr">
        <is>
          <t>Epithet Aura</t>
        </is>
      </c>
      <c r="C32" s="17" t="inlineStr">
        <is>
          <t>class:cls_skald</t>
        </is>
      </c>
      <c r="D32" s="17" t="inlineStr">
        <is>
          <t>always</t>
        </is>
      </c>
      <c r="E32" s="17" t="n">
        <v>5</v>
      </c>
      <c r="F32" s="17" t="n">
        <v>5</v>
      </c>
      <c r="G32" s="17" t="n">
        <v>0</v>
      </c>
      <c r="H32" s="17" t="n">
        <v>0</v>
      </c>
      <c r="I32" s="17" t="n">
        <v>0</v>
      </c>
      <c r="J32" s="17" t="n">
        <v>0</v>
      </c>
      <c r="K32" s="17" t="n">
        <v>0</v>
      </c>
      <c r="L32" s="17" t="n">
        <v>0</v>
      </c>
      <c r="M32" s="17" t="inlineStr">
        <is>
          <t>Canon note on Skald: 'epithet aura'.</t>
        </is>
      </c>
    </row>
    <row r="33">
      <c r="A33" s="17" t="inlineStr">
        <is>
          <t>ab_ledger_eyes</t>
        </is>
      </c>
      <c r="B33" s="17" t="inlineStr">
        <is>
          <t>Ledger Eyes</t>
        </is>
      </c>
      <c r="C33" s="17" t="inlineStr">
        <is>
          <t>class:cls_factor</t>
        </is>
      </c>
      <c r="D33" s="17" t="inlineStr">
        <is>
          <t>always</t>
        </is>
      </c>
      <c r="E33" s="17" t="n">
        <v>0</v>
      </c>
      <c r="F33" s="17" t="n">
        <v>8</v>
      </c>
      <c r="G33" s="17" t="n">
        <v>0</v>
      </c>
      <c r="H33" s="17" t="n">
        <v>0</v>
      </c>
      <c r="I33" s="17" t="n">
        <v>0</v>
      </c>
      <c r="J33" s="17" t="n">
        <v>0</v>
      </c>
      <c r="K33" s="17" t="n">
        <v>0</v>
      </c>
      <c r="L33" s="17" t="n">
        <v>0</v>
      </c>
      <c r="M33" s="17" t="inlineStr">
        <is>
          <t>Kheldar: reads a fight like a manifest.</t>
        </is>
      </c>
    </row>
    <row r="34">
      <c r="A34" s="17" t="inlineStr">
        <is>
          <t>ab_light_fingers</t>
        </is>
      </c>
      <c r="B34" s="17" t="inlineStr">
        <is>
          <t>Light Fingers</t>
        </is>
      </c>
      <c r="C34" s="17" t="inlineStr">
        <is>
          <t>class:cls_footpad|class:cls_thief</t>
        </is>
      </c>
      <c r="D34" s="17" t="inlineStr">
        <is>
          <t>always</t>
        </is>
      </c>
      <c r="E34" s="17" t="n">
        <v>0</v>
      </c>
      <c r="F34" s="17" t="n">
        <v>10</v>
      </c>
      <c r="G34" s="17" t="n">
        <v>0</v>
      </c>
      <c r="H34" s="17" t="n">
        <v>0</v>
      </c>
      <c r="I34" s="17" t="n">
        <v>0</v>
      </c>
      <c r="J34" s="17" t="n">
        <v>0</v>
      </c>
      <c r="K34" s="17" t="n">
        <v>0</v>
      </c>
      <c r="L34" s="17" t="n">
        <v>0</v>
      </c>
      <c r="M34" s="17" t="inlineStr">
        <is>
          <t>Shadow line: hard to pin down.</t>
        </is>
      </c>
    </row>
    <row r="35">
      <c r="A35" s="17" t="inlineStr">
        <is>
          <t>ab_backstab</t>
        </is>
      </c>
      <c r="B35" s="17" t="inlineStr">
        <is>
          <t>Backstab</t>
        </is>
      </c>
      <c r="C35" s="17" t="inlineStr">
        <is>
          <t>class:cls_footpad|class:cls_thief</t>
        </is>
      </c>
      <c r="D35" s="17" t="inlineStr">
        <is>
          <t>always</t>
        </is>
      </c>
      <c r="E35" s="17" t="n">
        <v>0</v>
      </c>
      <c r="F35" s="17" t="n">
        <v>0</v>
      </c>
      <c r="G35" s="17" t="n">
        <v>10</v>
      </c>
      <c r="H35" s="17" t="n">
        <v>0</v>
      </c>
      <c r="I35" s="17" t="n">
        <v>0</v>
      </c>
      <c r="J35" s="17" t="n">
        <v>0</v>
      </c>
      <c r="K35" s="17" t="n">
        <v>0</v>
      </c>
      <c r="L35" s="17" t="n">
        <v>0</v>
      </c>
      <c r="M35" s="17" t="inlineStr">
        <is>
          <t>Shadow line: finds the gap.</t>
        </is>
      </c>
    </row>
    <row r="36">
      <c r="A36" s="17" t="inlineStr">
        <is>
          <t>ab_astra</t>
        </is>
      </c>
      <c r="B36" s="17" t="inlineStr">
        <is>
          <t>Astra</t>
        </is>
      </c>
      <c r="C36" s="17" t="inlineStr">
        <is>
          <t>class:cls_fianna</t>
        </is>
      </c>
      <c r="D36" s="17" t="inlineStr">
        <is>
          <t>always</t>
        </is>
      </c>
      <c r="E36" s="17" t="n">
        <v>5</v>
      </c>
      <c r="F36" s="17" t="n">
        <v>0</v>
      </c>
      <c r="G36" s="17" t="n">
        <v>0</v>
      </c>
      <c r="H36" s="17" t="n">
        <v>0</v>
      </c>
      <c r="I36" s="17" t="n">
        <v>2</v>
      </c>
      <c r="J36" s="17" t="n">
        <v>0</v>
      </c>
      <c r="K36" s="17" t="n">
        <v>3</v>
      </c>
      <c r="L36" s="17" t="n">
        <v>0</v>
      </c>
      <c r="M36" s="17" t="inlineStr">
        <is>
          <t>Canon signature skill (Fianna). The real thing is a multi-strike; as a passive it is a burst of speed, accuracy and damage.</t>
        </is>
      </c>
    </row>
    <row r="37">
      <c r="A37" s="17" t="inlineStr">
        <is>
          <t>ab_deadeye</t>
        </is>
      </c>
      <c r="B37" s="17" t="inlineStr">
        <is>
          <t>Deadeye</t>
        </is>
      </c>
      <c r="C37" s="17" t="inlineStr">
        <is>
          <t>class:cls_donso</t>
        </is>
      </c>
      <c r="D37" s="17" t="inlineStr">
        <is>
          <t>always</t>
        </is>
      </c>
      <c r="E37" s="17" t="n">
        <v>15</v>
      </c>
      <c r="F37" s="17" t="n">
        <v>0</v>
      </c>
      <c r="G37" s="17" t="n">
        <v>10</v>
      </c>
      <c r="H37" s="17" t="n">
        <v>0</v>
      </c>
      <c r="I37" s="17" t="n">
        <v>0</v>
      </c>
      <c r="J37" s="17" t="n">
        <v>0</v>
      </c>
      <c r="K37" s="17" t="n">
        <v>0</v>
      </c>
      <c r="L37" s="17" t="n">
        <v>0</v>
      </c>
      <c r="M37" s="17" t="inlineStr">
        <is>
          <t>Canon signature skill (Donso): never misses what it aims at.</t>
        </is>
      </c>
    </row>
    <row r="38">
      <c r="A38" s="17" t="inlineStr">
        <is>
          <t>ab_fierce_iron_fist</t>
        </is>
      </c>
      <c r="B38" s="17" t="inlineStr">
        <is>
          <t>Fierce Iron Fist</t>
        </is>
      </c>
      <c r="C38" s="17" t="inlineStr">
        <is>
          <t>class:cls_toa</t>
        </is>
      </c>
      <c r="D38" s="17" t="inlineStr">
        <is>
          <t>always</t>
        </is>
      </c>
      <c r="E38" s="17" t="n">
        <v>0</v>
      </c>
      <c r="F38" s="17" t="n">
        <v>0</v>
      </c>
      <c r="G38" s="17" t="n">
        <v>8</v>
      </c>
      <c r="H38" s="17" t="n">
        <v>0</v>
      </c>
      <c r="I38" s="17" t="n">
        <v>4</v>
      </c>
      <c r="J38" s="17" t="n">
        <v>0</v>
      </c>
      <c r="K38" s="17" t="n">
        <v>0</v>
      </c>
      <c r="L38" s="17" t="n">
        <v>0</v>
      </c>
      <c r="M38" s="17" t="inlineStr">
        <is>
          <t>Canon signature skill (Toa): hits hard and often finds the weak point.</t>
        </is>
      </c>
    </row>
    <row r="39">
      <c r="A39" s="17" t="inlineStr">
        <is>
          <t>ab_colossus</t>
        </is>
      </c>
      <c r="B39" s="17" t="inlineStr">
        <is>
          <t>Colossus</t>
        </is>
      </c>
      <c r="C39" s="17" t="inlineStr">
        <is>
          <t>class:cls_jaguar_knight</t>
        </is>
      </c>
      <c r="D39" s="17" t="inlineStr">
        <is>
          <t>always</t>
        </is>
      </c>
      <c r="E39" s="17" t="n">
        <v>0</v>
      </c>
      <c r="F39" s="17" t="n">
        <v>0</v>
      </c>
      <c r="G39" s="17" t="n">
        <v>0</v>
      </c>
      <c r="H39" s="17" t="n">
        <v>0</v>
      </c>
      <c r="I39" s="17" t="n">
        <v>3</v>
      </c>
      <c r="J39" s="17" t="n">
        <v>3</v>
      </c>
      <c r="K39" s="17" t="n">
        <v>0</v>
      </c>
      <c r="L39" s="17" t="n">
        <v>0</v>
      </c>
      <c r="M39" s="17" t="inlineStr">
        <is>
          <t>Canon signature skill (Jaguar knight): immovable and heavy-handed.</t>
        </is>
      </c>
    </row>
    <row r="40">
      <c r="A40" s="17" t="inlineStr">
        <is>
          <t>ab_stun</t>
        </is>
      </c>
      <c r="B40" s="17" t="inlineStr">
        <is>
          <t>Stun</t>
        </is>
      </c>
      <c r="C40" s="17" t="inlineStr">
        <is>
          <t>class:cls_eagle_knight</t>
        </is>
      </c>
      <c r="D40" s="17" t="inlineStr">
        <is>
          <t>always</t>
        </is>
      </c>
      <c r="E40" s="17" t="n">
        <v>5</v>
      </c>
      <c r="F40" s="17" t="n">
        <v>0</v>
      </c>
      <c r="G40" s="17" t="n">
        <v>12</v>
      </c>
      <c r="H40" s="17" t="n">
        <v>0</v>
      </c>
      <c r="I40" s="17" t="n">
        <v>0</v>
      </c>
      <c r="J40" s="17" t="n">
        <v>0</v>
      </c>
      <c r="K40" s="17" t="n">
        <v>0</v>
      </c>
      <c r="L40" s="17" t="n">
        <v>0</v>
      </c>
      <c r="M40" s="17" t="inlineStr">
        <is>
          <t>Canon signature skill (Eagle knight). The status effect isn't modelled; as a passive it is crits that land.</t>
        </is>
      </c>
    </row>
    <row r="41">
      <c r="A41" s="17" t="inlineStr">
        <is>
          <t>ab_corrosion</t>
        </is>
      </c>
      <c r="B41" s="17" t="inlineStr">
        <is>
          <t>Corrosion</t>
        </is>
      </c>
      <c r="C41" s="17" t="inlineStr">
        <is>
          <t>class:cls_tzitzimitl</t>
        </is>
      </c>
      <c r="D41" s="17" t="inlineStr">
        <is>
          <t>vs_armor</t>
        </is>
      </c>
      <c r="E41" s="17" t="n">
        <v>10</v>
      </c>
      <c r="F41" s="17" t="n">
        <v>0</v>
      </c>
      <c r="G41" s="17" t="n">
        <v>0</v>
      </c>
      <c r="H41" s="17" t="n">
        <v>0</v>
      </c>
      <c r="I41" s="17" t="n">
        <v>5</v>
      </c>
      <c r="J41" s="17" t="n">
        <v>0</v>
      </c>
      <c r="K41" s="17" t="n">
        <v>0</v>
      </c>
      <c r="L41" s="17" t="n">
        <v>0</v>
      </c>
      <c r="M41" s="17" t="inlineStr">
        <is>
          <t>Canon signature skill (Tzitzimitl): contact eats armour -- the prologue's most destructive warlock.</t>
        </is>
      </c>
    </row>
    <row r="42">
      <c r="A42" s="17" t="inlineStr">
        <is>
          <t>ab_verdict</t>
        </is>
      </c>
      <c r="B42" s="17" t="inlineStr">
        <is>
          <t>Verdict</t>
        </is>
      </c>
      <c r="C42" s="17" t="inlineStr">
        <is>
          <t>class:cls_krivis</t>
        </is>
      </c>
      <c r="D42" s="17" t="inlineStr">
        <is>
          <t>always</t>
        </is>
      </c>
      <c r="E42" s="17" t="n">
        <v>6</v>
      </c>
      <c r="F42" s="17" t="n">
        <v>6</v>
      </c>
      <c r="G42" s="17" t="n">
        <v>0</v>
      </c>
      <c r="H42" s="17" t="n">
        <v>4</v>
      </c>
      <c r="I42" s="17" t="n">
        <v>0</v>
      </c>
      <c r="J42" s="17" t="n">
        <v>3</v>
      </c>
      <c r="K42" s="17" t="n">
        <v>0</v>
      </c>
      <c r="L42" s="17" t="n">
        <v>0</v>
      </c>
      <c r="M42" s="17" t="inlineStr">
        <is>
          <t>Drafted signature skill for the Krivis (the judge-priest): a passive approximation of a ruling nothing gets past -- steady aim, harder to hit, softer blows.</t>
        </is>
      </c>
    </row>
    <row r="43">
      <c r="A43" s="17" t="inlineStr">
        <is>
          <t>ab_ten_thousand</t>
        </is>
      </c>
      <c r="B43" s="17" t="inlineStr">
        <is>
          <t>Ten Thousand</t>
        </is>
      </c>
      <c r="C43" s="17" t="inlineStr">
        <is>
          <t>class:cls_immortal</t>
        </is>
      </c>
      <c r="D43" s="17" t="inlineStr">
        <is>
          <t>always</t>
        </is>
      </c>
      <c r="E43" s="17" t="n">
        <v>0</v>
      </c>
      <c r="F43" s="17" t="n">
        <v>0</v>
      </c>
      <c r="G43" s="17" t="n">
        <v>0</v>
      </c>
      <c r="H43" s="17" t="n">
        <v>0</v>
      </c>
      <c r="I43" s="17" t="n">
        <v>2</v>
      </c>
      <c r="J43" s="17" t="n">
        <v>3</v>
      </c>
      <c r="K43" s="17" t="n">
        <v>2</v>
      </c>
      <c r="L43" s="17" t="n">
        <v>0</v>
      </c>
      <c r="M43" s="17" t="inlineStr">
        <is>
          <t>Drafted signature skill for the Immortal: a passive approximation of ranks that close as men fall -- steady blows, harder to hurt, and enough speed back to offset the weight of the armour.</t>
        </is>
      </c>
    </row>
    <row r="44">
      <c r="A44" s="17" t="inlineStr">
        <is>
          <t>NOTE -- draft ability table, review before treating as canon. pool is pipe-delimited tags a unit's class must match one of: 'any', 'art:&lt;art&gt;', 'move:&lt;movement&gt;', 'tier:&lt;tier&gt;', 'class:&lt;class_id&gt;'. cond: always | hp_full | hp_low (&lt;= half HP) | vs_&lt;movement&gt; (the foe's movement type) | art:&lt;art&gt; (the wielded weapon's art). Effects are flat: hit/avoid/crit/dodge points, dmg added to damage dealt, guard subtracted from damage taken, speed added to attack speed, exp_pct EXP percent. Passive combat effects only: canon's map-action skills (Shove, Steal, Refresh, Provoke...) need systems that don't exist. Slots come from promotion_rules (slots_*). Drafted by a Claude Code session, 2026-10-05. ADDENDUM (2026-10-06): the six paragon signature skills (Astra, Deadeye, Fierce Iron Fist, Colossus, Stun, Corrosion) and Charge now also listed for the Bogatyr.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22" customWidth="1" style="18" min="1" max="1"/>
    <col width="22" customWidth="1" style="18" min="2" max="2"/>
    <col width="22" customWidth="1" style="18" min="3" max="3"/>
    <col width="22" customWidth="1" style="18" min="4" max="4"/>
    <col width="22" customWidth="1" style="18" min="5" max="5"/>
    <col width="22" customWidth="1" style="18" min="6" max="6"/>
    <col width="22" customWidth="1" style="18" min="7" max="7"/>
  </cols>
  <sheetData>
    <row r="1">
      <c r="A1" s="26" t="inlineStr">
        <is>
          <t>path_id</t>
        </is>
      </c>
      <c r="B1" s="26" t="inlineStr">
        <is>
          <t>from_location_id</t>
        </is>
      </c>
      <c r="C1" s="26" t="inlineStr">
        <is>
          <t>to_location_id</t>
        </is>
      </c>
      <c r="D1" s="26" t="inlineStr">
        <is>
          <t>route</t>
        </is>
      </c>
      <c r="E1" s="17" t="inlineStr">
        <is>
          <t>kind</t>
        </is>
      </c>
      <c r="F1" s="17" t="inlineStr">
        <is>
          <t>waypoints</t>
        </is>
      </c>
      <c r="G1" s="17" t="inlineStr">
        <is>
          <t>notes</t>
        </is>
      </c>
    </row>
    <row r="2">
      <c r="A2" s="17" t="inlineStr">
        <is>
          <t>path_tally_house_weighbridge</t>
        </is>
      </c>
      <c r="B2" s="17" t="inlineStr">
        <is>
          <t>loc_tally_house</t>
        </is>
      </c>
      <c r="C2" s="17" t="inlineStr">
        <is>
          <t>loc_weighbridge</t>
        </is>
      </c>
      <c r="D2" s="17" t="inlineStr">
        <is>
          <t>diadem</t>
        </is>
      </c>
      <c r="E2" s="17" t="inlineStr">
        <is>
          <t>road</t>
        </is>
      </c>
    </row>
    <row r="3">
      <c r="A3" s="17" t="inlineStr">
        <is>
          <t>path_weighbridge_grain_road</t>
        </is>
      </c>
      <c r="B3" s="17" t="inlineStr">
        <is>
          <t>loc_weighbridge</t>
        </is>
      </c>
      <c r="C3" s="17" t="inlineStr">
        <is>
          <t>loc_grain_road</t>
        </is>
      </c>
      <c r="D3" s="17" t="inlineStr">
        <is>
          <t>diadem</t>
        </is>
      </c>
      <c r="E3" s="17" t="inlineStr">
        <is>
          <t>road</t>
        </is>
      </c>
    </row>
    <row r="4">
      <c r="A4" s="17" t="inlineStr">
        <is>
          <t>path_grain_road_thessala</t>
        </is>
      </c>
      <c r="B4" s="17" t="inlineStr">
        <is>
          <t>loc_grain_road</t>
        </is>
      </c>
      <c r="C4" s="17" t="inlineStr">
        <is>
          <t>loc_thessala</t>
        </is>
      </c>
      <c r="D4" s="17" t="inlineStr">
        <is>
          <t>diadem</t>
        </is>
      </c>
      <c r="E4" s="17" t="inlineStr">
        <is>
          <t>road</t>
        </is>
      </c>
    </row>
    <row r="5">
      <c r="A5" s="17" t="inlineStr">
        <is>
          <t>path_thessala_salt_ford</t>
        </is>
      </c>
      <c r="B5" s="17" t="inlineStr">
        <is>
          <t>loc_thessala</t>
        </is>
      </c>
      <c r="C5" s="17" t="inlineStr">
        <is>
          <t>loc_salt_ford</t>
        </is>
      </c>
      <c r="D5" s="17" t="inlineStr">
        <is>
          <t>diadem</t>
        </is>
      </c>
      <c r="E5" s="17" t="inlineStr">
        <is>
          <t>road</t>
        </is>
      </c>
    </row>
    <row r="6">
      <c r="A6" s="17" t="inlineStr">
        <is>
          <t>path_salt_ford_anthe</t>
        </is>
      </c>
      <c r="B6" s="17" t="inlineStr">
        <is>
          <t>loc_salt_ford</t>
        </is>
      </c>
      <c r="C6" s="17" t="inlineStr">
        <is>
          <t>loc_anthe</t>
        </is>
      </c>
      <c r="D6" s="17" t="inlineStr">
        <is>
          <t>diadem</t>
        </is>
      </c>
      <c r="E6" s="17" t="inlineStr">
        <is>
          <t>road</t>
        </is>
      </c>
    </row>
    <row r="7">
      <c r="A7" s="17" t="inlineStr">
        <is>
          <t>path_anthe_stranded_harbour</t>
        </is>
      </c>
      <c r="B7" s="17" t="inlineStr">
        <is>
          <t>loc_anthe</t>
        </is>
      </c>
      <c r="C7" s="17" t="inlineStr">
        <is>
          <t>loc_stranded_harbour</t>
        </is>
      </c>
      <c r="D7" s="17" t="inlineStr">
        <is>
          <t>diadem</t>
        </is>
      </c>
      <c r="E7" s="17" t="inlineStr">
        <is>
          <t>road</t>
        </is>
      </c>
    </row>
    <row r="8">
      <c r="A8" s="17" t="inlineStr">
        <is>
          <t>path_stranded_harbour_dry_country</t>
        </is>
      </c>
      <c r="B8" s="17" t="inlineStr">
        <is>
          <t>loc_stranded_harbour</t>
        </is>
      </c>
      <c r="C8" s="17" t="inlineStr">
        <is>
          <t>loc_dry_country</t>
        </is>
      </c>
      <c r="D8" s="17" t="inlineStr">
        <is>
          <t>diadem</t>
        </is>
      </c>
      <c r="E8" s="17" t="inlineStr">
        <is>
          <t>road</t>
        </is>
      </c>
    </row>
    <row r="9">
      <c r="A9" s="17" t="inlineStr">
        <is>
          <t>path_dry_country_vashti_road</t>
        </is>
      </c>
      <c r="B9" s="17" t="inlineStr">
        <is>
          <t>loc_dry_country</t>
        </is>
      </c>
      <c r="C9" s="17" t="inlineStr">
        <is>
          <t>loc_vashti_road</t>
        </is>
      </c>
      <c r="D9" s="17" t="inlineStr">
        <is>
          <t>diadem</t>
        </is>
      </c>
      <c r="E9" s="17" t="inlineStr">
        <is>
          <t>road</t>
        </is>
      </c>
      <c r="F9" s="17" t="inlineStr">
        <is>
          <t>520,392;690,392</t>
        </is>
      </c>
    </row>
    <row r="10">
      <c r="A10" s="17" t="inlineStr">
        <is>
          <t>path_vashti_road_vashti_gate</t>
        </is>
      </c>
      <c r="B10" s="17" t="inlineStr">
        <is>
          <t>loc_vashti_road</t>
        </is>
      </c>
      <c r="C10" s="17" t="inlineStr">
        <is>
          <t>loc_vashti_gate</t>
        </is>
      </c>
      <c r="D10" s="17" t="inlineStr">
        <is>
          <t>diadem</t>
        </is>
      </c>
      <c r="E10" s="17" t="inlineStr">
        <is>
          <t>road</t>
        </is>
      </c>
    </row>
    <row r="11">
      <c r="A11" s="17" t="inlineStr">
        <is>
          <t>path_vetch_gate_still_town</t>
        </is>
      </c>
      <c r="B11" s="17" t="inlineStr">
        <is>
          <t>loc_vetch_gate</t>
        </is>
      </c>
      <c r="C11" s="17" t="inlineStr">
        <is>
          <t>loc_still_town</t>
        </is>
      </c>
      <c r="D11" s="17" t="inlineStr">
        <is>
          <t>assembly</t>
        </is>
      </c>
      <c r="E11" s="17" t="inlineStr">
        <is>
          <t>road</t>
        </is>
      </c>
    </row>
    <row r="12">
      <c r="A12" s="17" t="inlineStr">
        <is>
          <t>path_still_town_chapterhouse</t>
        </is>
      </c>
      <c r="B12" s="17" t="inlineStr">
        <is>
          <t>loc_still_town</t>
        </is>
      </c>
      <c r="C12" s="17" t="inlineStr">
        <is>
          <t>loc_chapterhouse</t>
        </is>
      </c>
      <c r="D12" s="17" t="inlineStr">
        <is>
          <t>assembly</t>
        </is>
      </c>
      <c r="E12" s="17" t="inlineStr">
        <is>
          <t>road</t>
        </is>
      </c>
    </row>
    <row r="13">
      <c r="A13" s="17" t="inlineStr">
        <is>
          <t>path_chapterhouse_halder</t>
        </is>
      </c>
      <c r="B13" s="17" t="inlineStr">
        <is>
          <t>loc_chapterhouse</t>
        </is>
      </c>
      <c r="C13" s="17" t="inlineStr">
        <is>
          <t>loc_halder</t>
        </is>
      </c>
      <c r="D13" s="17" t="inlineStr">
        <is>
          <t>assembly</t>
        </is>
      </c>
      <c r="E13" s="17" t="inlineStr">
        <is>
          <t>road</t>
        </is>
      </c>
    </row>
    <row r="14">
      <c r="A14" s="17" t="inlineStr">
        <is>
          <t>path_halder_lake_shore</t>
        </is>
      </c>
      <c r="B14" s="17" t="inlineStr">
        <is>
          <t>loc_halder</t>
        </is>
      </c>
      <c r="C14" s="17" t="inlineStr">
        <is>
          <t>loc_lake_shore</t>
        </is>
      </c>
      <c r="D14" s="17" t="inlineStr">
        <is>
          <t>assembly</t>
        </is>
      </c>
      <c r="E14" s="17" t="inlineStr">
        <is>
          <t>road</t>
        </is>
      </c>
    </row>
    <row r="15">
      <c r="A15" s="17" t="inlineStr">
        <is>
          <t>path_lake_shore_ostrova</t>
        </is>
      </c>
      <c r="B15" s="17" t="inlineStr">
        <is>
          <t>loc_lake_shore</t>
        </is>
      </c>
      <c r="C15" s="17" t="inlineStr">
        <is>
          <t>loc_ostrova</t>
        </is>
      </c>
      <c r="D15" s="17" t="inlineStr">
        <is>
          <t>assembly</t>
        </is>
      </c>
      <c r="E15" s="17" t="inlineStr">
        <is>
          <t>road</t>
        </is>
      </c>
    </row>
    <row r="16">
      <c r="A16" s="17" t="inlineStr">
        <is>
          <t>path_ostrova_upper_scar</t>
        </is>
      </c>
      <c r="B16" s="17" t="inlineStr">
        <is>
          <t>loc_ostrova</t>
        </is>
      </c>
      <c r="C16" s="17" t="inlineStr">
        <is>
          <t>loc_upper_scar</t>
        </is>
      </c>
      <c r="D16" s="17" t="inlineStr">
        <is>
          <t>assembly</t>
        </is>
      </c>
      <c r="E16" s="17" t="inlineStr">
        <is>
          <t>road</t>
        </is>
      </c>
    </row>
    <row r="17">
      <c r="A17" s="17" t="inlineStr">
        <is>
          <t>path_upper_scar_timber_road</t>
        </is>
      </c>
      <c r="B17" s="17" t="inlineStr">
        <is>
          <t>loc_upper_scar</t>
        </is>
      </c>
      <c r="C17" s="17" t="inlineStr">
        <is>
          <t>loc_timber_road</t>
        </is>
      </c>
      <c r="D17" s="17" t="inlineStr">
        <is>
          <t>assembly</t>
        </is>
      </c>
      <c r="E17" s="17" t="inlineStr">
        <is>
          <t>road</t>
        </is>
      </c>
    </row>
    <row r="18">
      <c r="A18" s="17" t="inlineStr">
        <is>
          <t>path_timber_road_march_shrine</t>
        </is>
      </c>
      <c r="B18" s="17" t="inlineStr">
        <is>
          <t>loc_timber_road</t>
        </is>
      </c>
      <c r="C18" s="17" t="inlineStr">
        <is>
          <t>loc_march_shrine</t>
        </is>
      </c>
      <c r="D18" s="17" t="inlineStr">
        <is>
          <t>assembly</t>
        </is>
      </c>
      <c r="E18" s="17" t="inlineStr">
        <is>
          <t>road</t>
        </is>
      </c>
    </row>
    <row r="19">
      <c r="A19" s="17" t="inlineStr">
        <is>
          <t>path_march_shrine_vetch_chapel</t>
        </is>
      </c>
      <c r="B19" s="17" t="inlineStr">
        <is>
          <t>loc_march_shrine</t>
        </is>
      </c>
      <c r="C19" s="17" t="inlineStr">
        <is>
          <t>loc_vetch_chapel</t>
        </is>
      </c>
      <c r="D19" s="17" t="inlineStr">
        <is>
          <t>assembly</t>
        </is>
      </c>
      <c r="E19" s="17" t="inlineStr">
        <is>
          <t>road</t>
        </is>
      </c>
    </row>
    <row r="20">
      <c r="A20" s="17" t="inlineStr">
        <is>
          <t>path_vetch_chapel_vetch_gate</t>
        </is>
      </c>
      <c r="B20" s="17" t="inlineStr">
        <is>
          <t>loc_vetch_chapel</t>
        </is>
      </c>
      <c r="C20" s="17" t="inlineStr">
        <is>
          <t>loc_vetch_gate</t>
        </is>
      </c>
      <c r="D20" s="17" t="inlineStr">
        <is>
          <t>assembly</t>
        </is>
      </c>
      <c r="E20" s="17" t="inlineStr">
        <is>
          <t>trail</t>
        </is>
      </c>
    </row>
    <row r="21">
      <c r="A21" s="17" t="inlineStr">
        <is>
          <t>path_tally_house_kaisareia_walls</t>
        </is>
      </c>
      <c r="B21" s="17" t="inlineStr">
        <is>
          <t>loc_tally_house</t>
        </is>
      </c>
      <c r="C21" s="17" t="inlineStr">
        <is>
          <t>loc_kaisareia_walls</t>
        </is>
      </c>
      <c r="D21" s="17" t="inlineStr">
        <is>
          <t>both</t>
        </is>
      </c>
      <c r="E21" s="17" t="inlineStr">
        <is>
          <t>road</t>
        </is>
      </c>
    </row>
    <row r="22">
      <c r="A22" s="17" t="inlineStr">
        <is>
          <t>path_kaisareia_walls_muster_field</t>
        </is>
      </c>
      <c r="B22" s="17" t="inlineStr">
        <is>
          <t>loc_kaisareia_walls</t>
        </is>
      </c>
      <c r="C22" s="17" t="inlineStr">
        <is>
          <t>loc_muster_field</t>
        </is>
      </c>
      <c r="D22" s="17" t="inlineStr">
        <is>
          <t>both</t>
        </is>
      </c>
      <c r="E22" s="17" t="inlineStr">
        <is>
          <t>road</t>
        </is>
      </c>
    </row>
    <row r="23">
      <c r="A23" s="17" t="inlineStr">
        <is>
          <t>path_vashti_gate_muster_field</t>
        </is>
      </c>
      <c r="B23" s="17" t="inlineStr">
        <is>
          <t>loc_vashti_gate</t>
        </is>
      </c>
      <c r="C23" s="17" t="inlineStr">
        <is>
          <t>loc_muster_field</t>
        </is>
      </c>
      <c r="D23" s="17" t="inlineStr">
        <is>
          <t>both</t>
        </is>
      </c>
      <c r="E23" s="17" t="inlineStr">
        <is>
          <t>road</t>
        </is>
      </c>
    </row>
    <row r="24">
      <c r="A24" s="17" t="inlineStr">
        <is>
          <t>path_march_shrine_muster_field</t>
        </is>
      </c>
      <c r="B24" s="17" t="inlineStr">
        <is>
          <t>loc_march_shrine</t>
        </is>
      </c>
      <c r="C24" s="17" t="inlineStr">
        <is>
          <t>loc_muster_field</t>
        </is>
      </c>
      <c r="D24" s="17" t="inlineStr">
        <is>
          <t>both</t>
        </is>
      </c>
      <c r="E24" s="17" t="inlineStr">
        <is>
          <t>road</t>
        </is>
      </c>
    </row>
    <row r="25">
      <c r="A25" s="17" t="inlineStr">
        <is>
          <t>path_muster_field_cinder_track</t>
        </is>
      </c>
      <c r="B25" s="17" t="inlineStr">
        <is>
          <t>loc_muster_field</t>
        </is>
      </c>
      <c r="C25" s="17" t="inlineStr">
        <is>
          <t>loc_cinder_track</t>
        </is>
      </c>
      <c r="D25" s="17" t="inlineStr">
        <is>
          <t>both</t>
        </is>
      </c>
      <c r="E25" s="17" t="inlineStr">
        <is>
          <t>road</t>
        </is>
      </c>
    </row>
    <row r="26">
      <c r="A26" s="17" t="inlineStr">
        <is>
          <t>path_cinder_track_glass_edge</t>
        </is>
      </c>
      <c r="B26" s="17" t="inlineStr">
        <is>
          <t>loc_cinder_track</t>
        </is>
      </c>
      <c r="C26" s="17" t="inlineStr">
        <is>
          <t>loc_glass_edge</t>
        </is>
      </c>
      <c r="D26" s="17" t="inlineStr">
        <is>
          <t>both</t>
        </is>
      </c>
      <c r="E26" s="17" t="inlineStr">
        <is>
          <t>road</t>
        </is>
      </c>
    </row>
    <row r="27">
      <c r="A27" s="17" t="inlineStr">
        <is>
          <t>path_glass_edge_reunion_field</t>
        </is>
      </c>
      <c r="B27" s="17" t="inlineStr">
        <is>
          <t>loc_glass_edge</t>
        </is>
      </c>
      <c r="C27" s="17" t="inlineStr">
        <is>
          <t>loc_reunion_field</t>
        </is>
      </c>
      <c r="D27" s="17" t="inlineStr">
        <is>
          <t>both</t>
        </is>
      </c>
      <c r="E27" s="17" t="inlineStr">
        <is>
          <t>road</t>
        </is>
      </c>
    </row>
    <row r="28">
      <c r="A28" s="17" t="inlineStr">
        <is>
          <t>path_reunion_field_grain_road</t>
        </is>
      </c>
      <c r="B28" s="17" t="inlineStr">
        <is>
          <t>loc_reunion_field</t>
        </is>
      </c>
      <c r="C28" s="17" t="inlineStr">
        <is>
          <t>loc_grain_road</t>
        </is>
      </c>
      <c r="D28" s="17" t="inlineStr">
        <is>
          <t>both</t>
        </is>
      </c>
      <c r="E28" s="17" t="inlineStr">
        <is>
          <t>road</t>
        </is>
      </c>
    </row>
    <row r="29">
      <c r="A29" s="17" t="inlineStr">
        <is>
          <t>path_cinder_track_caravanserai</t>
        </is>
      </c>
      <c r="B29" s="17" t="inlineStr">
        <is>
          <t>loc_cinder_track</t>
        </is>
      </c>
      <c r="C29" s="17" t="inlineStr">
        <is>
          <t>loc_caravanserai</t>
        </is>
      </c>
      <c r="D29" s="17" t="inlineStr">
        <is>
          <t>both</t>
        </is>
      </c>
      <c r="E29" s="17" t="inlineStr">
        <is>
          <t>road</t>
        </is>
      </c>
    </row>
    <row r="30">
      <c r="A30" s="17" t="inlineStr">
        <is>
          <t>path_caravanserai_throat_pass</t>
        </is>
      </c>
      <c r="B30" s="17" t="inlineStr">
        <is>
          <t>loc_caravanserai</t>
        </is>
      </c>
      <c r="C30" s="17" t="inlineStr">
        <is>
          <t>loc_throat_pass</t>
        </is>
      </c>
      <c r="D30" s="17" t="inlineStr">
        <is>
          <t>both</t>
        </is>
      </c>
      <c r="E30" s="17" t="inlineStr">
        <is>
          <t>road</t>
        </is>
      </c>
    </row>
    <row r="31">
      <c r="A31" s="17" t="inlineStr">
        <is>
          <t>path_throat_pass_glass_edge</t>
        </is>
      </c>
      <c r="B31" s="17" t="inlineStr">
        <is>
          <t>loc_throat_pass</t>
        </is>
      </c>
      <c r="C31" s="17" t="inlineStr">
        <is>
          <t>loc_glass_edge</t>
        </is>
      </c>
      <c r="D31" s="17" t="inlineStr">
        <is>
          <t>both</t>
        </is>
      </c>
      <c r="E31" s="17" t="inlineStr">
        <is>
          <t>road</t>
        </is>
      </c>
    </row>
    <row r="32">
      <c r="A32" s="17" t="inlineStr">
        <is>
          <t>path_lake_shore_simurgh_nest</t>
        </is>
      </c>
      <c r="B32" s="17" t="inlineStr">
        <is>
          <t>loc_lake_shore</t>
        </is>
      </c>
      <c r="C32" s="17" t="inlineStr">
        <is>
          <t>loc_simurgh_nest</t>
        </is>
      </c>
      <c r="D32" s="17" t="inlineStr">
        <is>
          <t>both</t>
        </is>
      </c>
      <c r="E32" s="17" t="inlineStr">
        <is>
          <t>trail</t>
        </is>
      </c>
    </row>
    <row r="33">
      <c r="A33" s="17" t="inlineStr">
        <is>
          <t>path_halder_north_wind</t>
        </is>
      </c>
      <c r="B33" s="17" t="inlineStr">
        <is>
          <t>loc_halder</t>
        </is>
      </c>
      <c r="C33" s="17" t="inlineStr">
        <is>
          <t>loc_north_wind</t>
        </is>
      </c>
      <c r="D33" s="17" t="inlineStr">
        <is>
          <t>both</t>
        </is>
      </c>
      <c r="E33" s="17" t="inlineStr">
        <is>
          <t>trail</t>
        </is>
      </c>
    </row>
    <row r="34">
      <c r="A34" s="17" t="inlineStr">
        <is>
          <t>path_cinder_track_dove_colony</t>
        </is>
      </c>
      <c r="B34" s="17" t="inlineStr">
        <is>
          <t>loc_cinder_track</t>
        </is>
      </c>
      <c r="C34" s="17" t="inlineStr">
        <is>
          <t>loc_dove_colony</t>
        </is>
      </c>
      <c r="D34" s="17" t="inlineStr">
        <is>
          <t>both</t>
        </is>
      </c>
      <c r="E34" s="17" t="inlineStr">
        <is>
          <t>trail</t>
        </is>
      </c>
    </row>
    <row r="35">
      <c r="A35" s="17" t="inlineStr">
        <is>
          <t>path_vashti_gate_buried_works</t>
        </is>
      </c>
      <c r="B35" s="17" t="inlineStr">
        <is>
          <t>loc_vashti_gate</t>
        </is>
      </c>
      <c r="C35" s="17" t="inlineStr">
        <is>
          <t>loc_buried_works</t>
        </is>
      </c>
      <c r="D35" s="17" t="inlineStr">
        <is>
          <t>both</t>
        </is>
      </c>
      <c r="E35" s="17" t="inlineStr">
        <is>
          <t>trail</t>
        </is>
      </c>
    </row>
    <row r="36">
      <c r="A36" s="17" t="inlineStr">
        <is>
          <t>path_glass_edge_flats_interior</t>
        </is>
      </c>
      <c r="B36" s="17" t="inlineStr">
        <is>
          <t>loc_glass_edge</t>
        </is>
      </c>
      <c r="C36" s="17" t="inlineStr">
        <is>
          <t>loc_flats_interior</t>
        </is>
      </c>
      <c r="D36" s="17" t="inlineStr">
        <is>
          <t>both</t>
        </is>
      </c>
      <c r="E36" s="17" t="inlineStr">
        <is>
          <t>trail</t>
        </is>
      </c>
    </row>
    <row r="37">
      <c r="A37" s="17" t="inlineStr">
        <is>
          <t>path_anthe_lowest_terrace</t>
        </is>
      </c>
      <c r="B37" s="17" t="inlineStr">
        <is>
          <t>loc_anthe</t>
        </is>
      </c>
      <c r="C37" s="17" t="inlineStr">
        <is>
          <t>loc_lowest_terrace</t>
        </is>
      </c>
      <c r="D37" s="17" t="inlineStr">
        <is>
          <t>both</t>
        </is>
      </c>
      <c r="E37" s="17" t="inlineStr">
        <is>
          <t>trail</t>
        </is>
      </c>
    </row>
    <row r="38">
      <c r="A38" s="17" t="inlineStr">
        <is>
          <t>path_stranded_harbour_hermit_lake</t>
        </is>
      </c>
      <c r="B38" s="17" t="inlineStr">
        <is>
          <t>loc_stranded_harbour</t>
        </is>
      </c>
      <c r="C38" s="17" t="inlineStr">
        <is>
          <t>loc_hermit_lake</t>
        </is>
      </c>
      <c r="D38" s="17" t="inlineStr">
        <is>
          <t>both</t>
        </is>
      </c>
      <c r="E38" s="17" t="inlineStr">
        <is>
          <t>trail</t>
        </is>
      </c>
    </row>
    <row r="39">
      <c r="A39" s="17" t="inlineStr">
        <is>
          <t>path_throat_pass_open_road</t>
        </is>
      </c>
      <c r="B39" s="17" t="inlineStr">
        <is>
          <t>loc_throat_pass</t>
        </is>
      </c>
      <c r="C39" s="17" t="inlineStr">
        <is>
          <t>loc_open_road</t>
        </is>
      </c>
      <c r="D39" s="17" t="inlineStr">
        <is>
          <t>both</t>
        </is>
      </c>
      <c r="E39" s="17" t="inlineStr">
        <is>
          <t>trail</t>
        </is>
      </c>
    </row>
    <row r="41">
      <c r="A41" s="17" t="inlineStr">
        <is>
          <t>NOTE -- draft overworld paths (2026-10-11). The overworld is a graph, Super-Mario-World style: locations are nodes, each row here is a two-way path between two of them. The party walks the shortest chain of paths to any location you pick; a location with no path at all (the Ur-Nashet flashback) is reached by memory. route: diadem/assembly/both (how the line is drawn); kind: road/trail; waypoints: optional 'x,y;x,y' bends so a line doesn't cut through other places. Not to scale and not canon geography beyond regions.direction.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8" customWidth="1" style="18" min="1" max="1"/>
    <col width="18" customWidth="1" style="18" min="2" max="2"/>
    <col width="18" customWidth="1" style="18" min="3" max="3"/>
    <col width="18" customWidth="1" style="18" min="4" max="4"/>
    <col width="18" customWidth="1" style="18" min="5" max="5"/>
    <col width="18" customWidth="1" style="18" min="6" max="6"/>
    <col width="18" customWidth="1" style="18" min="7" max="7"/>
    <col width="18" customWidth="1" style="18" min="8" max="8"/>
    <col width="18" customWidth="1" style="18" min="9" max="9"/>
    <col width="18" customWidth="1" style="18" min="10" max="10"/>
  </cols>
  <sheetData>
    <row r="1">
      <c r="A1" s="26" t="inlineStr">
        <is>
          <t>cargo_id</t>
        </is>
      </c>
      <c r="B1" s="26" t="inlineStr">
        <is>
          <t>map_id</t>
        </is>
      </c>
      <c r="C1" s="26" t="inlineStr">
        <is>
          <t>name</t>
        </is>
      </c>
      <c r="D1" s="26" t="inlineStr">
        <is>
          <t>movement</t>
        </is>
      </c>
      <c r="E1" s="26" t="inlineStr">
        <is>
          <t>hp</t>
        </is>
      </c>
      <c r="F1" s="26" t="inlineStr">
        <is>
          <t>def</t>
        </is>
      </c>
      <c r="G1" s="26" t="inlineStr">
        <is>
          <t>res</t>
        </is>
      </c>
      <c r="H1" s="26" t="inlineStr">
        <is>
          <t>spawn_row</t>
        </is>
      </c>
      <c r="I1" s="26" t="inlineStr">
        <is>
          <t>spawn_col</t>
        </is>
      </c>
      <c r="J1" s="26" t="inlineStr">
        <is>
          <t>notes</t>
        </is>
      </c>
    </row>
    <row r="2">
      <c r="A2" s="17" t="inlineStr">
        <is>
          <t>cargo_d03_wagon1</t>
        </is>
      </c>
      <c r="B2" s="17" t="inlineStr">
        <is>
          <t>map_d03</t>
        </is>
      </c>
      <c r="C2" s="17" t="inlineStr">
        <is>
          <t>Grain wagon (north)</t>
        </is>
      </c>
      <c r="D2" s="17" t="inlineStr">
        <is>
          <t>armor</t>
        </is>
      </c>
      <c r="E2" s="17" t="n">
        <v>30</v>
      </c>
      <c r="F2" s="17" t="n">
        <v>4</v>
      </c>
      <c r="G2" s="17" t="n">
        <v>0</v>
      </c>
      <c r="H2" s="17" t="n">
        <v>13</v>
      </c>
      <c r="I2" s="17" t="n">
        <v>3</v>
      </c>
      <c r="J2" s="17" t="inlineStr">
        <is>
          <t>map_d03: escort 2 of 3 wagons, move 4 -- armor movement, so a wagon cannot take the foot-only ford</t>
        </is>
      </c>
    </row>
    <row r="3">
      <c r="A3" s="17" t="inlineStr">
        <is>
          <t>cargo_d03_wagon2</t>
        </is>
      </c>
      <c r="B3" s="17" t="inlineStr">
        <is>
          <t>map_d03</t>
        </is>
      </c>
      <c r="C3" s="17" t="inlineStr">
        <is>
          <t>Grain wagon (centre)</t>
        </is>
      </c>
      <c r="D3" s="17" t="inlineStr">
        <is>
          <t>armor</t>
        </is>
      </c>
      <c r="E3" s="17" t="n">
        <v>30</v>
      </c>
      <c r="F3" s="17" t="n">
        <v>4</v>
      </c>
      <c r="G3" s="17" t="n">
        <v>0</v>
      </c>
      <c r="H3" s="17" t="n">
        <v>13</v>
      </c>
      <c r="I3" s="17" t="n">
        <v>9</v>
      </c>
    </row>
    <row r="4">
      <c r="A4" s="17" t="inlineStr">
        <is>
          <t>cargo_d03_wagon3</t>
        </is>
      </c>
      <c r="B4" s="17" t="inlineStr">
        <is>
          <t>map_d03</t>
        </is>
      </c>
      <c r="C4" s="17" t="inlineStr">
        <is>
          <t>Grain wagon (south)</t>
        </is>
      </c>
      <c r="D4" s="17" t="inlineStr">
        <is>
          <t>armor</t>
        </is>
      </c>
      <c r="E4" s="17" t="n">
        <v>30</v>
      </c>
      <c r="F4" s="17" t="n">
        <v>4</v>
      </c>
      <c r="G4" s="17" t="n">
        <v>0</v>
      </c>
      <c r="H4" s="17" t="n">
        <v>13</v>
      </c>
      <c r="I4" s="17" t="n">
        <v>15</v>
      </c>
    </row>
    <row r="5">
      <c r="A5" s="17" t="inlineStr">
        <is>
          <t>cargo_a01_cart</t>
        </is>
      </c>
      <c r="B5" s="17" t="inlineStr">
        <is>
          <t>map_a01</t>
        </is>
      </c>
      <c r="C5" s="17" t="inlineStr">
        <is>
          <t>The medicine cart</t>
        </is>
      </c>
      <c r="D5" s="17" t="inlineStr">
        <is>
          <t>armor</t>
        </is>
      </c>
      <c r="E5" s="17" t="n">
        <v>24</v>
      </c>
      <c r="F5" s="17" t="n">
        <v>3</v>
      </c>
      <c r="G5" s="17" t="n">
        <v>0</v>
      </c>
      <c r="H5" s="17" t="n">
        <v>11</v>
      </c>
      <c r="I5" s="17" t="n">
        <v>8</v>
      </c>
      <c r="J5" s="17" t="inlineStr">
        <is>
          <t>map_a01: the winter dole's cart; civilians chasing it aren't modelled</t>
        </is>
      </c>
    </row>
    <row r="7">
      <c r="A7" s="17" t="inlineStr">
        <is>
          <t>NOTE -- draft cargo units (2026-10-12). A cargo unit is a player-side unit that cannot fight and must be walked to its map's escort tile (the 'E' symbol); delivering one is what the escort objective now means on a map with cargo (maps.cargo_needed delivered to win; if too few remain alive the map is lost) and what ep_delivery counts. Wagon and cart stats are first-pass guesses. d03's 'escort 2 of 3' is canon; the cart's hp and the wagons' defence are 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2026-08-03T19:55:20Z</dcterms:created>
  <dcterms:modified xsi:type="dcterms:W3CDTF">2026-10-12T18:55:46Z</dcterms:modified>
  <cp:revision>0</cp:revision>
</cp:coreProperties>
</file>