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nums" sheetId="2" state="visible" r:id="rId4"/>
    <sheet name="sects" sheetId="3" state="visible" r:id="rId5"/>
    <sheet name="classes" sheetId="4" state="visible" r:id="rId6"/>
    <sheet name="growths" sheetId="5" state="visible" r:id="rId7"/>
    <sheet name="units" sheetId="6" state="visible" r:id="rId8"/>
    <sheet name="maps" sheetId="7" state="visible" r:id="rId9"/>
    <sheet name="chapters" sheetId="8" state="visible" r:id="rId10"/>
    <sheet name="epithets" sheetId="9" state="visible" r:id="rId11"/>
    <sheet name="deputy_ledger" sheetId="10" state="visible" r:id="rId12"/>
    <sheet name="npcs" sheetId="11" state="visible" r:id="rId13"/>
    <sheet name="scenes" sheetId="12" state="visible" r:id="rId14"/>
    <sheet name="validation" sheetId="13" state="visible" r:id="rId15"/>
    <sheet name="regions" sheetId="14" state="visible" r:id="rId16"/>
    <sheet name="named" sheetId="15" state="visible" r:id="rId17"/>
    <sheet name="states" sheetId="16" state="visible" r:id="rId18"/>
    <sheet name="defections" sheetId="17" state="visible" r:id="rId19"/>
    <sheet name="locations" sheetId="18" state="visible" r:id="rId20"/>
    <sheet name="polities" sheetId="19" state="visible" r:id="rId21"/>
    <sheet name="settlements" sheetId="20" state="visible" r:id="rId22"/>
    <sheet name="eras" sheetId="21" state="visible" r:id="rId23"/>
    <sheet name="flashbacks" sheetId="22" state="visible" r:id="rId24"/>
    <sheet name="prologue_roster" sheetId="23" state="visible" r:id="rId25"/>
    <sheet name="prologue_structures" sheetId="24" state="visible" r:id="rId26"/>
    <sheet name="prologue_tuning" sheetId="25" state="visible" r:id="rId27"/>
    <sheet name="signs" sheetId="26" state="visible" r:id="rId28"/>
    <sheet name="calendar" sheetId="27" state="visible" r:id="rId29"/>
    <sheet name="practices" sheetId="28" state="visible" r:id="rId30"/>
    <sheet name="the_claimant" sheetId="29" state="visible" r:id="rId31"/>
    <sheet name="roster_gaps" sheetId="30" state="visible" r:id="rId32"/>
    <sheet name="canon_flags" sheetId="31" state="visible" r:id="rId33"/>
    <sheet name="epilogue_generation" sheetId="32" state="visible" r:id="rId34"/>
    <sheet name="forges" sheetId="33" state="visible" r:id="rId35"/>
    <sheet name="materials" sheetId="34" state="visible" r:id="rId36"/>
    <sheet name="christian_allegory" sheetId="35" state="visible" r:id="rId37"/>
    <sheet name="ascension_signals" sheetId="36" state="visible" r:id="rId38"/>
    <sheet name="endings" sheetId="37" state="visible" r:id="rId39"/>
    <sheet name="naming_reference" sheetId="38" state="visible" r:id="rId4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<sst xmlns="http://schemas.openxmlformats.org/spreadsheetml/2006/main" count="2764" uniqueCount="1684">
  <si>
    <t xml:space="preserve">FODLAN CANON MASTER DATA</t>
  </si>
  <si>
    <t xml:space="preserve">What this is: the source of truth for the sequel. Prose is generated FROM this, never the reverse.</t>
  </si>
  <si>
    <t xml:space="preserve">If a name, place, class, or unit is not in here, it does not exist yet.</t>
  </si>
  <si>
    <t xml:space="preserve">HOW TO USE</t>
  </si>
  <si>
    <t xml:space="preserve">1. Add entities by row. Every row needs an ID in the first column. IDs never change once written.</t>
  </si>
  <si>
    <t xml:space="preserve">2. Enum-typed columns must draw from the enums tab. Add the value there first.</t>
  </si>
  <si>
    <t xml:space="preserve">3. Multi-valued cells are pipe-delimited text (u_jost|u_tancred). No multi-selects, ever.</t>
  </si>
  <si>
    <t xml:space="preserve">4. The validation tab is live: any blocking count above zero means something dangles.</t>
  </si>
  <si>
    <t xml:space="preserve">5. Run canon_validate.py for the checks a formula cannot express.</t>
  </si>
  <si>
    <t xml:space="preserve">THE COHERENCE CONTRACT</t>
  </si>
  <si>
    <t xml:space="preserve">Every generated scene gets a row on the scenes tab declaring which chapter it belongs to,</t>
  </si>
  <si>
    <t xml:space="preserve">which units speak, and which canon flags it branches on. A scene that names a unit who has not</t>
  </si>
  <si>
    <t xml:space="preserve">joined by that chapter is a validator failure, not a judgment call.</t>
  </si>
  <si>
    <t xml:space="preserve">DIVISION OF LABOR</t>
  </si>
  <si>
    <t xml:space="preserve">You decide: which sect grows the Enlightened One, who the Venerated candidates are, what each</t>
  </si>
  <si>
    <t xml:space="preserve">map's objective verb is, the tone of the epilogue cards. Anything where two options are both</t>
  </si>
  <si>
    <t xml:space="preserve">coherent and the choice reveals taste.</t>
  </si>
  <si>
    <t xml:space="preserve">Generated: scene drafts against a one-line spec, enemy rosters, tile data, forge name</t>
  </si>
  <si>
    <t xml:space="preserve">permutations, epithet vocabulary, paralogue flavor, item text, and all code.</t>
  </si>
  <si>
    <t xml:space="preserve">TAB INDEX</t>
  </si>
  <si>
    <t xml:space="preserve">enums, sects, classes, growths, units, maps, chapters, epithets, deputy_ledger, npcs,</t>
  </si>
  <si>
    <t xml:space="preserve">canon_flags, scenes, validation</t>
  </si>
  <si>
    <t xml:space="preserve">Yellow cells are levers you are expected to tune. Blue text is hardcoded input.</t>
  </si>
  <si>
    <t xml:space="preserve">Seeded 2026-08-03 from the design corpus to date. Counts are deliberately incomplete:</t>
  </si>
  <si>
    <t xml:space="preserve">14 of 24-28 recruitables, 8 of 30 chapters. The empty rows are the project.</t>
  </si>
  <si>
    <t xml:space="preserve">PACING CONTRACT</t>
  </si>
  <si>
    <t xml:space="preserve">Calm is scheduled, not optional. Besaid and Balamb Garden are not side content -- the game</t>
  </si>
  <si>
    <t xml:space="preserve">routes you through them. Every chapter carries a tonal_register, and the validator counts</t>
  </si>
  <si>
    <t xml:space="preserve">them: one warm or wondrous chapter in every four, and never three heavy chapters in a row.</t>
  </si>
  <si>
    <t xml:space="preserve">A warm chapter is still a battle. The warmth is in what the map is ABOUT, not in its absence.</t>
  </si>
  <si>
    <t xml:space="preserve">VISUAL REGISTER</t>
  </si>
  <si>
    <t xml:space="preserve">Namibia and Moebius: vast, legible, sunlit emptiness. Hard noon light, mineral color, deep</t>
  </si>
  <si>
    <t xml:space="preserve">horizons, a single figure readable at distance. NOT gothic gloom, NOT brown stone and candles.</t>
  </si>
  <si>
    <t xml:space="preserve">The Glass Flats under a white sky at noon should be beautiful before they are ominous.</t>
  </si>
  <si>
    <t xml:space="preserve">GEOGRAPHY DISCIPLINE</t>
  </si>
  <si>
    <t xml:space="preserve">The center is antique; the fringes are current. Learning moved east and came back translated.</t>
  </si>
  <si>
    <t xml:space="preserve">Every scar supports at least two incompatible explanations and the game confirms none of them.</t>
  </si>
  <si>
    <t xml:space="preserve">MAP LAWS (from diagnosed the prior age failures)</t>
  </si>
  <si>
    <t xml:space="preserve">1. Every reinforcement has an address. Dens are visible and ideally capturable; taking one</t>
  </si>
  <si>
    <t xml:space="preserve">   stops it producing. Nothing spawns inside the reach of a unit who could not have seen it.</t>
  </si>
  <si>
    <t xml:space="preserve">2. No single unit solves a map. Objectives are non-atomic, so preparation stays half the game.</t>
  </si>
  <si>
    <t xml:space="preserve">3. A set-piece boss is unreachable for N turns, for a reason visible on the map. Taltian Plains</t>
  </si>
  <si>
    <t xml:space="preserve">   fails because the penultimate drama resolves on turn one.</t>
  </si>
  <si>
    <t xml:space="preserve">4. Forced deploys are budgeted and named. Hunting by Daybreak forces bodies without forcing use,</t>
  </si>
  <si>
    <t xml:space="preserve">   so the optimal play is parking them in a corner. Diversity is rewarded, never mandated:</t>
  </si>
  <si>
    <t xml:space="preserve">   every map offers at least two approaches favouring different movement types.</t>
  </si>
  <si>
    <t xml:space="preserve">The two-compositions test is a MEASUREMENT, not an opinion. Every map must be beatable by at</t>
  </si>
  <si>
    <t xml:space="preserve">least two meaningfully different armies. That is what the sim harness is for.</t>
  </si>
  <si>
    <t xml:space="preserve">route</t>
  </si>
  <si>
    <t xml:space="preserve">act</t>
  </si>
  <si>
    <t xml:space="preserve">column</t>
  </si>
  <si>
    <t xml:space="preserve">art</t>
  </si>
  <si>
    <t xml:space="preserve">movement</t>
  </si>
  <si>
    <t xml:space="preserve">class_tier</t>
  </si>
  <si>
    <t xml:space="preserve">objective_verb</t>
  </si>
  <si>
    <t xml:space="preserve">sect_id</t>
  </si>
  <si>
    <t xml:space="preserve">unit_status</t>
  </si>
  <si>
    <t xml:space="preserve">deed_category</t>
  </si>
  <si>
    <t xml:space="preserve">severity</t>
  </si>
  <si>
    <t xml:space="preserve">tonal_register</t>
  </si>
  <si>
    <t xml:space="preserve">direction</t>
  </si>
  <si>
    <t xml:space="preserve">reinforcement_source</t>
  </si>
  <si>
    <t xml:space="preserve">killed_by_type</t>
  </si>
  <si>
    <t xml:space="preserve">diadem</t>
  </si>
  <si>
    <t xml:space="preserve">prologue</t>
  </si>
  <si>
    <t xml:space="preserve">unified</t>
  </si>
  <si>
    <t xml:space="preserve">sword</t>
  </si>
  <si>
    <t xml:space="preserve">infantry</t>
  </si>
  <si>
    <t xml:space="preserve">commoner</t>
  </si>
  <si>
    <t xml:space="preserve">seize</t>
  </si>
  <si>
    <t xml:space="preserve">sect_vashti</t>
  </si>
  <si>
    <t xml:space="preserve">recruitable</t>
  </si>
  <si>
    <t xml:space="preserve">boss_kill</t>
  </si>
  <si>
    <t xml:space="preserve">blocking</t>
  </si>
  <si>
    <t xml:space="preserve">warm</t>
  </si>
  <si>
    <t xml:space="preserve">center</t>
  </si>
  <si>
    <t xml:space="preserve">none</t>
  </si>
  <si>
    <t xml:space="preserve">polity</t>
  </si>
  <si>
    <t xml:space="preserve">assembly</t>
  </si>
  <si>
    <t xml:space="preserve">1</t>
  </si>
  <si>
    <t xml:space="preserve">A</t>
  </si>
  <si>
    <t xml:space="preserve">lance</t>
  </si>
  <si>
    <t xml:space="preserve">armor</t>
  </si>
  <si>
    <t xml:space="preserve">trained</t>
  </si>
  <si>
    <t xml:space="preserve">hold</t>
  </si>
  <si>
    <t xml:space="preserve">sect_march</t>
  </si>
  <si>
    <t xml:space="preserve">jagen</t>
  </si>
  <si>
    <t xml:space="preserve">solo_hold</t>
  </si>
  <si>
    <t xml:space="preserve">warning</t>
  </si>
  <si>
    <t xml:space="preserve">wondrous</t>
  </si>
  <si>
    <t xml:space="preserve">north</t>
  </si>
  <si>
    <t xml:space="preserve">den</t>
  </si>
  <si>
    <t xml:space="preserve">named_creature</t>
  </si>
  <si>
    <t xml:space="preserve">both</t>
  </si>
  <si>
    <t xml:space="preserve">2</t>
  </si>
  <si>
    <t xml:space="preserve">B</t>
  </si>
  <si>
    <t xml:space="preserve">axe</t>
  </si>
  <si>
    <t xml:space="preserve">riding</t>
  </si>
  <si>
    <t xml:space="preserve">order</t>
  </si>
  <si>
    <t xml:space="preserve">escort</t>
  </si>
  <si>
    <t xml:space="preserve">sect_road</t>
  </si>
  <si>
    <t xml:space="preserve">legacy</t>
  </si>
  <si>
    <t xml:space="preserve">no_hit_map</t>
  </si>
  <si>
    <t xml:space="preserve">info</t>
  </si>
  <si>
    <t xml:space="preserve">cold</t>
  </si>
  <si>
    <t xml:space="preserve">east</t>
  </si>
  <si>
    <t xml:space="preserve">scripted_visible</t>
  </si>
  <si>
    <t xml:space="preserve">defector</t>
  </si>
  <si>
    <t xml:space="preserve">3</t>
  </si>
  <si>
    <t xml:space="preserve">bow</t>
  </si>
  <si>
    <t xml:space="preserve">flying</t>
  </si>
  <si>
    <t xml:space="preserve">paragon</t>
  </si>
  <si>
    <t xml:space="preserve">defend</t>
  </si>
  <si>
    <t xml:space="preserve">sect_court</t>
  </si>
  <si>
    <t xml:space="preserve">npc</t>
  </si>
  <si>
    <t xml:space="preserve">miasma_walked</t>
  </si>
  <si>
    <t xml:space="preserve">grim</t>
  </si>
  <si>
    <t xml:space="preserve">southeast</t>
  </si>
  <si>
    <t xml:space="preserve">boss</t>
  </si>
  <si>
    <t xml:space="preserve">paralogue</t>
  </si>
  <si>
    <t xml:space="preserve">brawl</t>
  </si>
  <si>
    <t xml:space="preserve">shadow</t>
  </si>
  <si>
    <t xml:space="preserve">escape</t>
  </si>
  <si>
    <t xml:space="preserve">sect_coast</t>
  </si>
  <si>
    <t xml:space="preserve">delivery</t>
  </si>
  <si>
    <t xml:space="preserve">desolate</t>
  </si>
  <si>
    <t xml:space="preserve">west</t>
  </si>
  <si>
    <t xml:space="preserve">unknown</t>
  </si>
  <si>
    <t xml:space="preserve">reason</t>
  </si>
  <si>
    <t xml:space="preserve">personal</t>
  </si>
  <si>
    <t xml:space="preserve">rout</t>
  </si>
  <si>
    <t xml:space="preserve">dispersal</t>
  </si>
  <si>
    <t xml:space="preserve">triumphal</t>
  </si>
  <si>
    <t xml:space="preserve">faith</t>
  </si>
  <si>
    <t xml:space="preserve">hybrid</t>
  </si>
  <si>
    <t xml:space="preserve">purchase</t>
  </si>
  <si>
    <t xml:space="preserve">talk</t>
  </si>
  <si>
    <t xml:space="preserve">elegiac</t>
  </si>
  <si>
    <t xml:space="preserve">authority</t>
  </si>
  <si>
    <t xml:space="preserve">survive</t>
  </si>
  <si>
    <t xml:space="preserve">capture</t>
  </si>
  <si>
    <t xml:space="preserve">unseen_clear</t>
  </si>
  <si>
    <t xml:space="preserve">chest</t>
  </si>
  <si>
    <t xml:space="preserve">Controlled vocabulary. Every enum-typed column in this workbook must draw from here. Add a value here first, then use it. Never invent one inline.</t>
  </si>
  <si>
    <t xml:space="preserve">self_title</t>
  </si>
  <si>
    <t xml:space="preserve">common_name</t>
  </si>
  <si>
    <t xml:space="preserve">slur</t>
  </si>
  <si>
    <t xml:space="preserve">seat</t>
  </si>
  <si>
    <t xml:space="preserve">wound</t>
  </si>
  <si>
    <t xml:space="preserve">doctrine</t>
  </si>
  <si>
    <t xml:space="preserve">act2_chapter_count</t>
  </si>
  <si>
    <t xml:space="preserve">notes</t>
  </si>
  <si>
    <t xml:space="preserve">the Unstained</t>
  </si>
  <si>
    <t xml:space="preserve">Vashti men</t>
  </si>
  <si>
    <t xml:space="preserve">washers</t>
  </si>
  <si>
    <t xml:space="preserve">Vashti, in the Ashland</t>
  </si>
  <si>
    <t xml:space="preserve">collaboration: lords who hosted the experiments still hold office</t>
  </si>
  <si>
    <t xml:space="preserve">sacraments from complicit hands are void; the veneration must be re-made clean</t>
  </si>
  <si>
    <t xml:space="preserve">no talk conversations available on their seat map</t>
  </si>
  <si>
    <t xml:space="preserve">the Continuing Word</t>
  </si>
  <si>
    <t xml:space="preserve">March voices</t>
  </si>
  <si>
    <t xml:space="preserve">criers</t>
  </si>
  <si>
    <t xml:space="preserve">the Drowned March</t>
  </si>
  <si>
    <t xml:space="preserve">plague and the last hierarch's silence</t>
  </si>
  <si>
    <t xml:space="preserve">RESTORATIONIST: everything was lost and has now been given back, whole, to a person nobody had heard of. Not a reform of the old church -- a replacement</t>
  </si>
  <si>
    <t xml:space="preserve">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</si>
  <si>
    <t xml:space="preserve">the Company of the Road</t>
  </si>
  <si>
    <t xml:space="preserve">eastroaders</t>
  </si>
  <si>
    <t xml:space="preserve">factors</t>
  </si>
  <si>
    <t xml:space="preserve">the Throat (the Throat road)</t>
  </si>
  <si>
    <t xml:space="preserve">starvation: the caravan cities live on the road, and the war closed it; what saved them was a stranger extending credit to people who could not repay</t>
  </si>
  <si>
    <t xml:space="preserve">redemption is a purchase word -- to redeem is to buy back. Grace is credit extended to someone who cannot cover it, and the debt discharged by another. The god is met in exchange, on the road, not in buildings</t>
  </si>
  <si>
    <t xml:space="preserve">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</si>
  <si>
    <t xml:space="preserve">the Ordered / the King's Chapel</t>
  </si>
  <si>
    <t xml:space="preserve">the school / the chapel</t>
  </si>
  <si>
    <t xml:space="preserve">clerks</t>
  </si>
  <si>
    <t xml:space="preserve">Kaisareia / Vetch</t>
  </si>
  <si>
    <t xml:space="preserve">proximity to power</t>
  </si>
  <si>
    <t xml:space="preserve">made not begotten: emulate, do not worship; obedience belongs to the throne</t>
  </si>
  <si>
    <t xml:space="preserve">grows the Grand Inquisitor; home-front thread, ambushes at reunion</t>
  </si>
  <si>
    <t xml:space="preserve">(refuses titles)</t>
  </si>
  <si>
    <t xml:space="preserve">the silent</t>
  </si>
  <si>
    <t xml:space="preserve">(none)</t>
  </si>
  <si>
    <t xml:space="preserve">the Stepped Coast</t>
  </si>
  <si>
    <t xml:space="preserve">they are closest to the truth and least interested in sharing it</t>
  </si>
  <si>
    <t xml:space="preserve">renunciation; refuse to adjudicate</t>
  </si>
  <si>
    <t xml:space="preserve">unreachable by writ; paralogue-only, dark in some runs</t>
  </si>
  <si>
    <t xml:space="preserve">Three-name rule: which name a character uses tells you who they are. Never use self_title in narration.</t>
  </si>
  <si>
    <t xml:space="preserve">class_id</t>
  </si>
  <si>
    <t xml:space="preserve">name</t>
  </si>
  <si>
    <t xml:space="preserve">tier</t>
  </si>
  <si>
    <t xml:space="preserve">art_primary</t>
  </si>
  <si>
    <t xml:space="preserve">art_secondary</t>
  </si>
  <si>
    <t xml:space="preserve">promotes_from</t>
  </si>
  <si>
    <t xml:space="preserve">signature_skill</t>
  </si>
  <si>
    <t xml:space="preserve">provenance</t>
  </si>
  <si>
    <t xml:space="preserve">cls_commoner</t>
  </si>
  <si>
    <t xml:space="preserve">Commoner</t>
  </si>
  <si>
    <t xml:space="preserve">base</t>
  </si>
  <si>
    <t xml:space="preserve">cls_tr_sword</t>
  </si>
  <si>
    <t xml:space="preserve">Trained (sword)</t>
  </si>
  <si>
    <t xml:space="preserve">single aptitude, lv5+</t>
  </si>
  <si>
    <t xml:space="preserve">cls_tr_lance</t>
  </si>
  <si>
    <t xml:space="preserve">Trained (lance)</t>
  </si>
  <si>
    <t xml:space="preserve">cls_tr_axe</t>
  </si>
  <si>
    <t xml:space="preserve">Trained (axe)</t>
  </si>
  <si>
    <t xml:space="preserve">cls_tr_bow</t>
  </si>
  <si>
    <t xml:space="preserve">Trained (bow)</t>
  </si>
  <si>
    <t xml:space="preserve">cls_tr_brawl</t>
  </si>
  <si>
    <t xml:space="preserve">Trained (brawl)</t>
  </si>
  <si>
    <t xml:space="preserve">cls_tr_reason</t>
  </si>
  <si>
    <t xml:space="preserve">Trained (reason)</t>
  </si>
  <si>
    <t xml:space="preserve">cls_tr_faith</t>
  </si>
  <si>
    <t xml:space="preserve">Trained (faith)</t>
  </si>
  <si>
    <t xml:space="preserve">cls_swordmaster</t>
  </si>
  <si>
    <t xml:space="preserve">Swordmaster</t>
  </si>
  <si>
    <t xml:space="preserve">state certification</t>
  </si>
  <si>
    <t xml:space="preserve">lv15+, pair-certified</t>
  </si>
  <si>
    <t xml:space="preserve">cls_sentinel</t>
  </si>
  <si>
    <t xml:space="preserve">Sentinel</t>
  </si>
  <si>
    <t xml:space="preserve">cls_cavalier</t>
  </si>
  <si>
    <t xml:space="preserve">Cavalier</t>
  </si>
  <si>
    <t xml:space="preserve">cls_dragoon</t>
  </si>
  <si>
    <t xml:space="preserve">Dragoon</t>
  </si>
  <si>
    <t xml:space="preserve">jump-lunge</t>
  </si>
  <si>
    <t xml:space="preserve">cls_halberdier</t>
  </si>
  <si>
    <t xml:space="preserve">Halberdier</t>
  </si>
  <si>
    <t xml:space="preserve">cls_general</t>
  </si>
  <si>
    <t xml:space="preserve">General</t>
  </si>
  <si>
    <t xml:space="preserve">cls_paladin</t>
  </si>
  <si>
    <t xml:space="preserve">Paladin</t>
  </si>
  <si>
    <t xml:space="preserve">cls_falcon_knight</t>
  </si>
  <si>
    <t xml:space="preserve">Falcon knight</t>
  </si>
  <si>
    <t xml:space="preserve">cls_warrior</t>
  </si>
  <si>
    <t xml:space="preserve">Warrior</t>
  </si>
  <si>
    <t xml:space="preserve">cls_housecarl</t>
  </si>
  <si>
    <t xml:space="preserve">Housecarl</t>
  </si>
  <si>
    <t xml:space="preserve">Smite</t>
  </si>
  <si>
    <t xml:space="preserve">cls_axe_knight</t>
  </si>
  <si>
    <t xml:space="preserve">Axe knight</t>
  </si>
  <si>
    <t xml:space="preserve">cls_wyvern_lord</t>
  </si>
  <si>
    <t xml:space="preserve">Wyvern lord</t>
  </si>
  <si>
    <t xml:space="preserve">cls_sniper</t>
  </si>
  <si>
    <t xml:space="preserve">Sniper</t>
  </si>
  <si>
    <t xml:space="preserve">cls_pavisier</t>
  </si>
  <si>
    <t xml:space="preserve">Pavisier</t>
  </si>
  <si>
    <t xml:space="preserve">Stake</t>
  </si>
  <si>
    <t xml:space="preserve">cls_bow_knight</t>
  </si>
  <si>
    <t xml:space="preserve">Bow knight</t>
  </si>
  <si>
    <t xml:space="preserve">cls_sky_archer</t>
  </si>
  <si>
    <t xml:space="preserve">Sky archer</t>
  </si>
  <si>
    <t xml:space="preserve">cls_grappler</t>
  </si>
  <si>
    <t xml:space="preserve">Grappler</t>
  </si>
  <si>
    <t xml:space="preserve">cls_war_monk</t>
  </si>
  <si>
    <t xml:space="preserve">War monk</t>
  </si>
  <si>
    <t xml:space="preserve">Resolve</t>
  </si>
  <si>
    <t xml:space="preserve">cls_warlock</t>
  </si>
  <si>
    <t xml:space="preserve">Warlock</t>
  </si>
  <si>
    <t xml:space="preserve">cls_baron</t>
  </si>
  <si>
    <t xml:space="preserve">Baron</t>
  </si>
  <si>
    <t xml:space="preserve">casting tank (FE4 lineage)</t>
  </si>
  <si>
    <t xml:space="preserve">cls_mage_knight</t>
  </si>
  <si>
    <t xml:space="preserve">Mage knight</t>
  </si>
  <si>
    <t xml:space="preserve">surveyor kit</t>
  </si>
  <si>
    <t xml:space="preserve">cls_bishop</t>
  </si>
  <si>
    <t xml:space="preserve">Bishop</t>
  </si>
  <si>
    <t xml:space="preserve">cls_great_shield</t>
  </si>
  <si>
    <t xml:space="preserve">Great shield</t>
  </si>
  <si>
    <t xml:space="preserve">Pavise/Aegis</t>
  </si>
  <si>
    <t xml:space="preserve">cls_valkyrie</t>
  </si>
  <si>
    <t xml:space="preserve">Valkyrie</t>
  </si>
  <si>
    <t xml:space="preserve">Paragon</t>
  </si>
  <si>
    <t xml:space="preserve">cls_seraph_knight</t>
  </si>
  <si>
    <t xml:space="preserve">Seraph knight</t>
  </si>
  <si>
    <t xml:space="preserve">cls_ferryman</t>
  </si>
  <si>
    <t xml:space="preserve">Ferryman</t>
  </si>
  <si>
    <t xml:space="preserve">setting-new</t>
  </si>
  <si>
    <t xml:space="preserve">carry</t>
  </si>
  <si>
    <t xml:space="preserve">cls_pardoner</t>
  </si>
  <si>
    <t xml:space="preserve">Pardoner</t>
  </si>
  <si>
    <t xml:space="preserve">seal not kill</t>
  </si>
  <si>
    <t xml:space="preserve">cls_ash_ascetic</t>
  </si>
  <si>
    <t xml:space="preserve">Ash Ascetic</t>
  </si>
  <si>
    <t xml:space="preserve">cls_miasma_warden</t>
  </si>
  <si>
    <t xml:space="preserve">Miasma Warden</t>
  </si>
  <si>
    <t xml:space="preserve">born of the plague; Maren's destination</t>
  </si>
  <si>
    <t xml:space="preserve">cls_footpad</t>
  </si>
  <si>
    <t xml:space="preserve">Footpad</t>
  </si>
  <si>
    <t xml:space="preserve">uncertified</t>
  </si>
  <si>
    <t xml:space="preserve">off-matrix by definition</t>
  </si>
  <si>
    <t xml:space="preserve">cls_thief</t>
  </si>
  <si>
    <t xml:space="preserve">Thief</t>
  </si>
  <si>
    <t xml:space="preserve">cls_assassin</t>
  </si>
  <si>
    <t xml:space="preserve">Assassin</t>
  </si>
  <si>
    <t xml:space="preserve">cls_trickster</t>
  </si>
  <si>
    <t xml:space="preserve">Trickster</t>
  </si>
  <si>
    <t xml:space="preserve">cls_strategist</t>
  </si>
  <si>
    <t xml:space="preserve">Strategist</t>
  </si>
  <si>
    <t xml:space="preserve">no paperwork exists</t>
  </si>
  <si>
    <t xml:space="preserve">avatar; orders not swords</t>
  </si>
  <si>
    <t xml:space="preserve">cls_factor</t>
  </si>
  <si>
    <t xml:space="preserve">Factor</t>
  </si>
  <si>
    <t xml:space="preserve">Kheldar; end-map income, bribe one enemy to neutral</t>
  </si>
  <si>
    <t xml:space="preserve">cls_bounty_hunter</t>
  </si>
  <si>
    <t xml:space="preserve">Bounty hunter</t>
  </si>
  <si>
    <t xml:space="preserve">Gunnar; Capture + Shove mercy kit</t>
  </si>
  <si>
    <t xml:space="preserve">cls_quartermaster</t>
  </si>
  <si>
    <t xml:space="preserve">Quartermaster</t>
  </si>
  <si>
    <t xml:space="preserve">Merlinus revival; one per column</t>
  </si>
  <si>
    <t xml:space="preserve">cls_martyr</t>
  </si>
  <si>
    <t xml:space="preserve">Martyr</t>
  </si>
  <si>
    <t xml:space="preserve">Provoke + Miracle + Resolve</t>
  </si>
  <si>
    <t xml:space="preserve">cls_skald</t>
  </si>
  <si>
    <t xml:space="preserve">Skald</t>
  </si>
  <si>
    <t xml:space="preserve">Edda; Refresh + Steal + epithet aura</t>
  </si>
  <si>
    <t xml:space="preserve">cls_sapper</t>
  </si>
  <si>
    <t xml:space="preserve">Sapper</t>
  </si>
  <si>
    <t xml:space="preserve">IN DRAWER, not yet placed</t>
  </si>
  <si>
    <t xml:space="preserve">cls_bogatyr</t>
  </si>
  <si>
    <t xml:space="preserve">Bogatyr</t>
  </si>
  <si>
    <t xml:space="preserve">Charge</t>
  </si>
  <si>
    <t xml:space="preserve">Slavic</t>
  </si>
  <si>
    <t xml:space="preserve">lv30+, deed-gated</t>
  </si>
  <si>
    <t xml:space="preserve">cls_fianna</t>
  </si>
  <si>
    <t xml:space="preserve">Fianna</t>
  </si>
  <si>
    <t xml:space="preserve">Astra</t>
  </si>
  <si>
    <t xml:space="preserve">Celtic</t>
  </si>
  <si>
    <t xml:space="preserve">cls_donso</t>
  </si>
  <si>
    <t xml:space="preserve">Donso</t>
  </si>
  <si>
    <t xml:space="preserve">Deadeye</t>
  </si>
  <si>
    <t xml:space="preserve">Mande</t>
  </si>
  <si>
    <t xml:space="preserve">cls_toa</t>
  </si>
  <si>
    <t xml:space="preserve">Toa</t>
  </si>
  <si>
    <t xml:space="preserve">Fierce Iron Fist</t>
  </si>
  <si>
    <t xml:space="preserve">Polynesian</t>
  </si>
  <si>
    <t xml:space="preserve">cls_jaguar_knight</t>
  </si>
  <si>
    <t xml:space="preserve">Jaguar knight</t>
  </si>
  <si>
    <t xml:space="preserve">Colossus</t>
  </si>
  <si>
    <t xml:space="preserve">Aztec</t>
  </si>
  <si>
    <t xml:space="preserve">cls_eagle_knight</t>
  </si>
  <si>
    <t xml:space="preserve">Eagle knight</t>
  </si>
  <si>
    <t xml:space="preserve">Stun</t>
  </si>
  <si>
    <t xml:space="preserve">cls_tzitzimitl</t>
  </si>
  <si>
    <t xml:space="preserve">Tzitzimitl</t>
  </si>
  <si>
    <t xml:space="preserve">Corrosion</t>
  </si>
  <si>
    <t xml:space="preserve">founded in-game</t>
  </si>
  <si>
    <t xml:space="preserve">Deliberate permanent gaps: brawl+riding, brawl+flying. reason+flying is a founded gap (broken by paralogue into Tzitzimitl). Galeforce permanently banned.</t>
  </si>
  <si>
    <t xml:space="preserve">profile_id</t>
  </si>
  <si>
    <t xml:space="preserve">hp</t>
  </si>
  <si>
    <t xml:space="preserve">str</t>
  </si>
  <si>
    <t xml:space="preserve">mag</t>
  </si>
  <si>
    <t xml:space="preserve">dex</t>
  </si>
  <si>
    <t xml:space="preserve">spd</t>
  </si>
  <si>
    <t xml:space="preserve">lck</t>
  </si>
  <si>
    <t xml:space="preserve">def</t>
  </si>
  <si>
    <t xml:space="preserve">res</t>
  </si>
  <si>
    <t xml:space="preserve">total_check</t>
  </si>
  <si>
    <t xml:space="preserve">gp_bruiser</t>
  </si>
  <si>
    <t xml:space="preserve">gp_armor</t>
  </si>
  <si>
    <t xml:space="preserve">gp_cavalry</t>
  </si>
  <si>
    <t xml:space="preserve">gp_flier</t>
  </si>
  <si>
    <t xml:space="preserve">gp_archer</t>
  </si>
  <si>
    <t xml:space="preserve">gp_mage</t>
  </si>
  <si>
    <t xml:space="preserve">gp_healer</t>
  </si>
  <si>
    <t xml:space="preserve">gp_frail_lucky</t>
  </si>
  <si>
    <t xml:space="preserve">gp_jagen</t>
  </si>
  <si>
    <t xml:space="preserve">gp_avatar</t>
  </si>
  <si>
    <t xml:space="preserve">Archetype profiles, not per-unit growths. Target band 305-325 for recruits; Jagens 150 by design.</t>
  </si>
  <si>
    <t xml:space="preserve">unit_id</t>
  </si>
  <si>
    <t xml:space="preserve">status</t>
  </si>
  <si>
    <t xml:space="preserve">join_chapter_id</t>
  </si>
  <si>
    <t xml:space="preserve">join_condition</t>
  </si>
  <si>
    <t xml:space="preserve">base_class_id</t>
  </si>
  <si>
    <t xml:space="preserve">growth_profile_id</t>
  </si>
  <si>
    <t xml:space="preserve">venerated_candidate</t>
  </si>
  <si>
    <t xml:space="preserve">deputy_candidate</t>
  </si>
  <si>
    <t xml:space="preserve">u_avatar</t>
  </si>
  <si>
    <t xml:space="preserve">Avatar</t>
  </si>
  <si>
    <t xml:space="preserve">ch_d01</t>
  </si>
  <si>
    <t xml:space="preserve">start</t>
  </si>
  <si>
    <t xml:space="preserve">no</t>
  </si>
  <si>
    <t xml:space="preserve">level 1 administrator; squishy; voiced and argumentative</t>
  </si>
  <si>
    <t xml:space="preserve">u_jost</t>
  </si>
  <si>
    <t xml:space="preserve">Jost</t>
  </si>
  <si>
    <t xml:space="preserve">ch_d03</t>
  </si>
  <si>
    <t xml:space="preserve">talk after village visit</t>
  </si>
  <si>
    <t xml:space="preserve">yes</t>
  </si>
  <si>
    <t xml:space="preserve">ford bandit; lucky sleeper</t>
  </si>
  <si>
    <t xml:space="preserve">u_ricberta</t>
  </si>
  <si>
    <t xml:space="preserve">Ricberta</t>
  </si>
  <si>
    <t xml:space="preserve">ch_d02</t>
  </si>
  <si>
    <t xml:space="preserve">auto</t>
  </si>
  <si>
    <t xml:space="preserve">levy sergeant; secretly literate (Baron cross option); literacy is a deputy tiebreak</t>
  </si>
  <si>
    <t xml:space="preserve">u_emmerich</t>
  </si>
  <si>
    <t xml:space="preserve">Emmerich</t>
  </si>
  <si>
    <t xml:space="preserve">requisitions clerk; Baron showcase</t>
  </si>
  <si>
    <t xml:space="preserve">u_sigrun</t>
  </si>
  <si>
    <t xml:space="preserve">Sigrun</t>
  </si>
  <si>
    <t xml:space="preserve">courier rider</t>
  </si>
  <si>
    <t xml:space="preserve">u_waldrada</t>
  </si>
  <si>
    <t xml:space="preserve">Waldrada</t>
  </si>
  <si>
    <t xml:space="preserve">joins turn 2</t>
  </si>
  <si>
    <t xml:space="preserve">resentful Assembly flier; loyalty subplot</t>
  </si>
  <si>
    <t xml:space="preserve">u_tancred</t>
  </si>
  <si>
    <t xml:space="preserve">Tancred</t>
  </si>
  <si>
    <t xml:space="preserve">village recruit; Pardoner line</t>
  </si>
  <si>
    <t xml:space="preserve">u_maren</t>
  </si>
  <si>
    <t xml:space="preserve">Maren</t>
  </si>
  <si>
    <t xml:space="preserve">ch_a01</t>
  </si>
  <si>
    <t xml:space="preserve">auto if all civilians survive</t>
  </si>
  <si>
    <t xml:space="preserve">winter-dole healer; Miasma Warden destination</t>
  </si>
  <si>
    <t xml:space="preserve">u_brandt</t>
  </si>
  <si>
    <t xml:space="preserve">Brandt</t>
  </si>
  <si>
    <t xml:space="preserve">gate sergeant; Great shield via Maren support</t>
  </si>
  <si>
    <t xml:space="preserve">u_solveig</t>
  </si>
  <si>
    <t xml:space="preserve">Solveig</t>
  </si>
  <si>
    <t xml:space="preserve">ch_a02</t>
  </si>
  <si>
    <t xml:space="preserve">highland pegasus courier; living-prophecy family</t>
  </si>
  <si>
    <t xml:space="preserve">u_gunnar</t>
  </si>
  <si>
    <t xml:space="preserve">Gunnar</t>
  </si>
  <si>
    <t xml:space="preserve">old huntsman; crossbow-certified</t>
  </si>
  <si>
    <t xml:space="preserve">u_edda</t>
  </si>
  <si>
    <t xml:space="preserve">Edda</t>
  </si>
  <si>
    <t xml:space="preserve">village reciter</t>
  </si>
  <si>
    <t xml:space="preserve">u_anselm</t>
  </si>
  <si>
    <t xml:space="preserve">Anselm</t>
  </si>
  <si>
    <t xml:space="preserve">ch_a03</t>
  </si>
  <si>
    <t xml:space="preserve">adrift monk; theology barometer</t>
  </si>
  <si>
    <t xml:space="preserve">u_kheldar</t>
  </si>
  <si>
    <t xml:space="preserve">Kheldar</t>
  </si>
  <si>
    <t xml:space="preserve">recruited when profitable</t>
  </si>
  <si>
    <t xml:space="preserve">smuggler merchant-spy; ch1 cameo unkillable, escapes turn 6; manifest discrepancy thread</t>
  </si>
  <si>
    <t xml:space="preserve">u_dietmar</t>
  </si>
  <si>
    <t xml:space="preserve">Dietmar</t>
  </si>
  <si>
    <t xml:space="preserve">revolution-generation; obsolescence arc; one Act 3 gate-holding deed map</t>
  </si>
  <si>
    <t xml:space="preserve">u_torvald</t>
  </si>
  <si>
    <t xml:space="preserve">Torvald</t>
  </si>
  <si>
    <t xml:space="preserve">last of a plague-gutted order; force-deployed on ch_a03</t>
  </si>
  <si>
    <t xml:space="preserve">u_rinsa</t>
  </si>
  <si>
    <t xml:space="preserve">Rinsa</t>
  </si>
  <si>
    <t xml:space="preserve">ch_b15</t>
  </si>
  <si>
    <t xml:space="preserve">talk; differs by route</t>
  </si>
  <si>
    <t xml:space="preserve">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</si>
  <si>
    <t xml:space="preserve">u_kest</t>
  </si>
  <si>
    <t xml:space="preserve">Kest</t>
  </si>
  <si>
    <t xml:space="preserve">talk or let-go, mid-heist</t>
  </si>
  <si>
    <t xml:space="preserve">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</si>
  <si>
    <t xml:space="preserve">map_id</t>
  </si>
  <si>
    <t xml:space="preserve">title</t>
  </si>
  <si>
    <t xml:space="preserve">width</t>
  </si>
  <si>
    <t xml:space="preserve">height</t>
  </si>
  <si>
    <t xml:space="preserve">turn_limit</t>
  </si>
  <si>
    <t xml:space="preserve">terrain</t>
  </si>
  <si>
    <t xml:space="preserve">chapter_id</t>
  </si>
  <si>
    <t xml:space="preserve">design_note</t>
  </si>
  <si>
    <t xml:space="preserve">reuse_in_act3</t>
  </si>
  <si>
    <t xml:space="preserve">den_capturable</t>
  </si>
  <si>
    <t xml:space="preserve">min_solution_units</t>
  </si>
  <si>
    <t xml:space="preserve">boss_gated_until_turn</t>
  </si>
  <si>
    <t xml:space="preserve">boss_gate_reason</t>
  </si>
  <si>
    <t xml:space="preserve">forced_deploy_ids</t>
  </si>
  <si>
    <t xml:space="preserve">deploy_slots</t>
  </si>
  <si>
    <t xml:space="preserve">approaches</t>
  </si>
  <si>
    <t xml:space="preserve">map_d01</t>
  </si>
  <si>
    <t xml:space="preserve">The tally house</t>
  </si>
  <si>
    <t xml:space="preserve">Kaisareia docks, night</t>
  </si>
  <si>
    <t xml:space="preserve">inverse-seize: reach and hold; neutral dockworkers mingle</t>
  </si>
  <si>
    <t xml:space="preserve">dock frontage|warehouse lane</t>
  </si>
  <si>
    <t xml:space="preserve">map_d02</t>
  </si>
  <si>
    <t xml:space="preserve">The weighbridge</t>
  </si>
  <si>
    <t xml:space="preserve">the Vashti estates, hedgerows block riding</t>
  </si>
  <si>
    <t xml:space="preserve">conscript levies flee below half HP, counted separately</t>
  </si>
  <si>
    <t xml:space="preserve">hedgerow foot path|open road (riding)|the weighbridge itself</t>
  </si>
  <si>
    <t xml:space="preserve">map_d03</t>
  </si>
  <si>
    <t xml:space="preserve">The grain road</t>
  </si>
  <si>
    <t xml:space="preserve">bridge choke + southern foot-only ford</t>
  </si>
  <si>
    <t xml:space="preserve">escort 2 of 3 wagons, move 4; turn 8 NE reinforcements</t>
  </si>
  <si>
    <t xml:space="preserve">bridge choke|southern ford (foot only)|north bank escort line</t>
  </si>
  <si>
    <t xml:space="preserve">map_a01</t>
  </si>
  <si>
    <t xml:space="preserve">The winter dole</t>
  </si>
  <si>
    <t xml:space="preserve">miasma tiles, ice slips</t>
  </si>
  <si>
    <t xml:space="preserve">neutral civilians chase the cart; looters kill them if unshielded</t>
  </si>
  <si>
    <t xml:space="preserve">the dole road|the ice (risky, fast)</t>
  </si>
  <si>
    <t xml:space="preserve">map_a02</t>
  </si>
  <si>
    <t xml:space="preserve">The still night</t>
  </si>
  <si>
    <t xml:space="preserve">three streets of differing widths, crowd tiles</t>
  </si>
  <si>
    <t xml:space="preserve">preacher converts 1 townsfolk/turn; kill / answer / capture</t>
  </si>
  <si>
    <t xml:space="preserve">wide street (riding)|narrow street (foot)|rooftops (flying)</t>
  </si>
  <si>
    <t xml:space="preserve">map_a03</t>
  </si>
  <si>
    <t xml:space="preserve">The chapterhouse</t>
  </si>
  <si>
    <t xml:space="preserve">ruined priory, cold drains 2 HP/turn outdoors</t>
  </si>
  <si>
    <t xml:space="preserve">relic hunters reinforce every 3 turns forever; reliquary take-or-give</t>
  </si>
  <si>
    <t xml:space="preserve">cloister (indoors, no cold)|open ward (fast, costly)</t>
  </si>
  <si>
    <t xml:space="preserve">map_x11</t>
  </si>
  <si>
    <t xml:space="preserve">The Second Writ</t>
  </si>
  <si>
    <t xml:space="preserve">muster field, river with two crossings</t>
  </si>
  <si>
    <t xml:space="preserve">ch_x11</t>
  </si>
  <si>
    <t xml:space="preserve">two simultaneous timed objectives at opposite edges; one force cannot do both</t>
  </si>
  <si>
    <t xml:space="preserve">west crossing|east crossing</t>
  </si>
  <si>
    <t xml:space="preserve">map_b15</t>
  </si>
  <si>
    <t xml:space="preserve">The going rate</t>
  </si>
  <si>
    <t xml:space="preserve">caravanserai; awnings block flight, arcade blocks bows</t>
  </si>
  <si>
    <t xml:space="preserve">prices rise per turn a fight is visible; preachers convert green levies</t>
  </si>
  <si>
    <t xml:space="preserve">the arcade (blocks bows)|the open bazaar|the porters' alley</t>
  </si>
  <si>
    <t xml:space="preserve">map_d05</t>
  </si>
  <si>
    <t xml:space="preserve">The grain fleet</t>
  </si>
  <si>
    <t xml:space="preserve">three lashed decks; open water at every edge; no terrain to hide behind</t>
  </si>
  <si>
    <t xml:space="preserve">ch_d05</t>
  </si>
  <si>
    <t xml:space="preserve">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</si>
  <si>
    <t xml:space="preserve">the weather deck|below, through the hold|the rigging (flying only)</t>
  </si>
  <si>
    <t xml:space="preserve">map_f00</t>
  </si>
  <si>
    <t xml:space="preserve">Ur-Nashet, the last night</t>
  </si>
  <si>
    <t xml:space="preserve">hanging gardens in rain: stepped terraces (+1 cost when wet), irrigation channels, one aqueduct span</t>
  </si>
  <si>
    <t xml:space="preserve">ch_f00</t>
  </si>
  <si>
    <t xml:space="preserve">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</si>
  <si>
    <t xml:space="preserve">the terraces (foot)|the aqueduct span (one tile)|the channels (flying only)</t>
  </si>
  <si>
    <t xml:space="preserve">Sizing band 20x25 to 30x20. Act 3 embeds reuse_in_act3 tilemaps into larger battlefields.</t>
  </si>
  <si>
    <t xml:space="preserve">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</si>
  <si>
    <t xml:space="preserve">number</t>
  </si>
  <si>
    <t xml:space="preserve">recruits_unit_ids</t>
  </si>
  <si>
    <t xml:space="preserve">teaches_system</t>
  </si>
  <si>
    <t xml:space="preserve">positioning</t>
  </si>
  <si>
    <t xml:space="preserve">green levies</t>
  </si>
  <si>
    <t xml:space="preserve">u_jost|u_tancred</t>
  </si>
  <si>
    <t xml:space="preserve">escort + cargo</t>
  </si>
  <si>
    <t xml:space="preserve">u_maren|u_brandt</t>
  </si>
  <si>
    <t xml:space="preserve">terrain hazard</t>
  </si>
  <si>
    <t xml:space="preserve">u_solveig|u_gunnar|u_edda</t>
  </si>
  <si>
    <t xml:space="preserve">jailed preacher is an Act 2 hook</t>
  </si>
  <si>
    <t xml:space="preserve">talk / capture / disperse</t>
  </si>
  <si>
    <t xml:space="preserve">Torvald force-deployed</t>
  </si>
  <si>
    <t xml:space="preserve">reinforcement pressure</t>
  </si>
  <si>
    <t xml:space="preserve">commission split; surveyor revealed as auditor; deputy named off the epithet ledger</t>
  </si>
  <si>
    <t xml:space="preserve">the commission split</t>
  </si>
  <si>
    <t xml:space="preserve">diadem buys grain, assembly buys medicine</t>
  </si>
  <si>
    <t xml:space="preserve">purchase objective</t>
  </si>
  <si>
    <t xml:space="preserve">voyage to the Green Ports; the Diadem is the sea power and this is where that shows</t>
  </si>
  <si>
    <t xml:space="preserve">boarding / grapple-dens</t>
  </si>
  <si>
    <t xml:space="preserve">800 years early, in a city that no longer exists. The player performs the founding crime before knowing it is one.</t>
  </si>
  <si>
    <t xml:space="preserve">movement, terrain cost, weapon triangle</t>
  </si>
  <si>
    <t xml:space="preserve">epithet_id</t>
  </si>
  <si>
    <t xml:space="preserve">trigger</t>
  </si>
  <si>
    <t xml:space="preserve">telemetry_source</t>
  </si>
  <si>
    <t xml:space="preserve">gates_paragon</t>
  </si>
  <si>
    <t xml:space="preserve">forge_vocab_token</t>
  </si>
  <si>
    <t xml:space="preserve">ep_bosskill</t>
  </si>
  <si>
    <t xml:space="preserve">kills a named boss in single combat</t>
  </si>
  <si>
    <t xml:space="preserve">combat log</t>
  </si>
  <si>
    <t xml:space="preserve">Slayer of</t>
  </si>
  <si>
    <t xml:space="preserve">ep_solohold</t>
  </si>
  <si>
    <t xml:space="preserve">holds a choke alone for 3+ enemy phases</t>
  </si>
  <si>
    <t xml:space="preserve">position log</t>
  </si>
  <si>
    <t xml:space="preserve">of the Ford</t>
  </si>
  <si>
    <t xml:space="preserve">ep_nohit</t>
  </si>
  <si>
    <t xml:space="preserve">clears a map without being struck</t>
  </si>
  <si>
    <t xml:space="preserve">Untouched</t>
  </si>
  <si>
    <t xml:space="preserve">ep_miasma</t>
  </si>
  <si>
    <t xml:space="preserve">ends turn on miasma tiles 5+ times</t>
  </si>
  <si>
    <t xml:space="preserve">terrain log</t>
  </si>
  <si>
    <t xml:space="preserve">Ash-walker</t>
  </si>
  <si>
    <t xml:space="preserve">ep_delivery</t>
  </si>
  <si>
    <t xml:space="preserve">escorts a cargo unit to its goal</t>
  </si>
  <si>
    <t xml:space="preserve">objective log</t>
  </si>
  <si>
    <t xml:space="preserve">Carter</t>
  </si>
  <si>
    <t xml:space="preserve">ep_dispersal</t>
  </si>
  <si>
    <t xml:space="preserve">routs levies below half HP without killing</t>
  </si>
  <si>
    <t xml:space="preserve">Merciful</t>
  </si>
  <si>
    <t xml:space="preserve">ep_talk</t>
  </si>
  <si>
    <t xml:space="preserve">resolves an enemy by conversation</t>
  </si>
  <si>
    <t xml:space="preserve">dialogue log</t>
  </si>
  <si>
    <t xml:space="preserve">Peacemaker</t>
  </si>
  <si>
    <t xml:space="preserve">ep_capture</t>
  </si>
  <si>
    <t xml:space="preserve">captures rather than kills 5+ times</t>
  </si>
  <si>
    <t xml:space="preserve">Taker</t>
  </si>
  <si>
    <t xml:space="preserve">Pure performance telemetry, no rubber-banding. Feeds Paragon gating, forge vocabulary, Venerated evidence, boss pre-battle screens, and the deputy selection.</t>
  </si>
  <si>
    <t xml:space="preserve">factor</t>
  </si>
  <si>
    <t xml:space="preserve">weight</t>
  </si>
  <si>
    <t xml:space="preserve">rationale</t>
  </si>
  <si>
    <t xml:space="preserve">writ chapter deed</t>
  </si>
  <si>
    <t xml:space="preserve">main-story chapters only</t>
  </si>
  <si>
    <t xml:space="preserve">paralogue deed</t>
  </si>
  <si>
    <t xml:space="preserve">unofficial work, off the books</t>
  </si>
  <si>
    <t xml:space="preserve">on stated objective</t>
  </si>
  <si>
    <t xml:space="preserve">counts toward the map's briefed goal</t>
  </si>
  <si>
    <t xml:space="preserve">within 4 tiles of surveyor</t>
  </si>
  <si>
    <t xml:space="preserve">witnessed by the auditor</t>
  </si>
  <si>
    <t xml:space="preserve">unwitnessed kill</t>
  </si>
  <si>
    <t xml:space="preserve">far-corner heroics do not appear in the report</t>
  </si>
  <si>
    <t xml:space="preserve">delivery / hold / dispersal</t>
  </si>
  <si>
    <t xml:space="preserve">legible categories outweigh kills</t>
  </si>
  <si>
    <t xml:space="preserve">raw kill</t>
  </si>
  <si>
    <t xml:space="preserve">hard to write down in a way that survives a clerk</t>
  </si>
  <si>
    <t xml:space="preserve">revealed literacy (tiebreak)</t>
  </si>
  <si>
    <t xml:space="preserve">Ricberta only, and only if a support revealed it</t>
  </si>
  <si>
    <t xml:space="preserve">The crown picks the deputy off this. Player may contest once at the writ scene; the crown grants it and withholds Column B's supply attachment.</t>
  </si>
  <si>
    <t xml:space="preserve">npc_id</t>
  </si>
  <si>
    <t xml:space="preserve">role</t>
  </si>
  <si>
    <t xml:space="preserve">act1</t>
  </si>
  <si>
    <t xml:space="preserve">act2</t>
  </si>
  <si>
    <t xml:space="preserve">act3</t>
  </si>
  <si>
    <t xml:space="preserve">canon_dependent</t>
  </si>
  <si>
    <t xml:space="preserve">npc_carter</t>
  </si>
  <si>
    <t xml:space="preserve">the carter</t>
  </si>
  <si>
    <t xml:space="preserve">world troupe</t>
  </si>
  <si>
    <t xml:space="preserve">the hidden god is fond of him</t>
  </si>
  <si>
    <t xml:space="preserve">npc_soldier</t>
  </si>
  <si>
    <t xml:space="preserve">the pardoned soldier</t>
  </si>
  <si>
    <t xml:space="preserve">npc_surveyor</t>
  </si>
  <si>
    <t xml:space="preserve">the church surveyor</t>
  </si>
  <si>
    <t xml:space="preserve">revealed at ch_x11 as the crown's auditor; retroactively load-bearing</t>
  </si>
  <si>
    <t xml:space="preserve">npc_heir</t>
  </si>
  <si>
    <t xml:space="preserve">the heir</t>
  </si>
  <si>
    <t xml:space="preserve">npc_errand</t>
  </si>
  <si>
    <t xml:space="preserve">the small odd traveler</t>
  </si>
  <si>
    <t xml:space="preserve">hidden god</t>
  </si>
  <si>
    <t xml:space="preserve">Emmaus register; zero mechanical payoff; never confirmed</t>
  </si>
  <si>
    <t xml:space="preserve">npc_macuil</t>
  </si>
  <si>
    <t xml:space="preserve">Macuil</t>
  </si>
  <si>
    <t xml:space="preserve">hermit saint</t>
  </si>
  <si>
    <t xml:space="preserve">the north wind winds; paralogue capstone; refuses to adjudicate</t>
  </si>
  <si>
    <t xml:space="preserve">npc_indech</t>
  </si>
  <si>
    <t xml:space="preserve">Indech</t>
  </si>
  <si>
    <t xml:space="preserve">his lake, fisher cult; paralogue capstone</t>
  </si>
  <si>
    <t xml:space="preserve">npc_methodios</t>
  </si>
  <si>
    <t xml:space="preserve">Methodios</t>
  </si>
  <si>
    <t xml:space="preserve">prophet; herald of the Hierophant</t>
  </si>
  <si>
    <t xml:space="preserve">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</si>
  <si>
    <t xml:space="preserve">Troupe rules: 1+ appearance per act, diegetic, never plot-critical, at least two meet on screen.</t>
  </si>
  <si>
    <t xml:space="preserve">scene_id</t>
  </si>
  <si>
    <t xml:space="preserve">type</t>
  </si>
  <si>
    <t xml:space="preserve">speaker_ids</t>
  </si>
  <si>
    <t xml:space="preserve">depends_on_flags</t>
  </si>
  <si>
    <t xml:space="preserve">depends_on_units</t>
  </si>
  <si>
    <t xml:space="preserve">summary</t>
  </si>
  <si>
    <t xml:space="preserve">word_count</t>
  </si>
  <si>
    <t xml:space="preserve">sc_x11_writ</t>
  </si>
  <si>
    <t xml:space="preserve">post-battle</t>
  </si>
  <si>
    <t xml:space="preserve">u_avatar|npc_surveyor</t>
  </si>
  <si>
    <t xml:space="preserve">u_ricberta|u_emmerich</t>
  </si>
  <si>
    <t xml:space="preserve">the writ is read; the deputy is named; the auditor reveals himself</t>
  </si>
  <si>
    <t xml:space="preserve">drafted</t>
  </si>
  <si>
    <t xml:space="preserve">One row per generated scene. depends_on_* columns are the coherence contract: the validator fails any scene naming a unit that has not joined by its chapter.</t>
  </si>
  <si>
    <t xml:space="preserve">check_id</t>
  </si>
  <si>
    <t xml:space="preserve">description</t>
  </si>
  <si>
    <t xml:space="preserve">violations</t>
  </si>
  <si>
    <t xml:space="preserve">v01</t>
  </si>
  <si>
    <t xml:space="preserve">units with a join_chapter_id not present in chapters</t>
  </si>
  <si>
    <t xml:space="preserve">v02</t>
  </si>
  <si>
    <t xml:space="preserve">units with a base_class_id not present in classes</t>
  </si>
  <si>
    <t xml:space="preserve">v03</t>
  </si>
  <si>
    <t xml:space="preserve">units with a growth_profile_id not present in growths</t>
  </si>
  <si>
    <t xml:space="preserve">v04</t>
  </si>
  <si>
    <t xml:space="preserve">chapters pointing at a map_id not present in maps</t>
  </si>
  <si>
    <t xml:space="preserve">v05</t>
  </si>
  <si>
    <t xml:space="preserve">chapters citing a sect_id not present in sects</t>
  </si>
  <si>
    <t xml:space="preserve">v06</t>
  </si>
  <si>
    <t xml:space="preserve">classes promoting from a class_id that does not exist</t>
  </si>
  <si>
    <t xml:space="preserve">v07</t>
  </si>
  <si>
    <t xml:space="preserve">maps whose objective_verb is not in enums</t>
  </si>
  <si>
    <t xml:space="preserve">v08</t>
  </si>
  <si>
    <t xml:space="preserve">scenes attached to a chapter_id that does not exist</t>
  </si>
  <si>
    <t xml:space="preserve">v09</t>
  </si>
  <si>
    <t xml:space="preserve">recruitable units still short of the 24 minimum</t>
  </si>
  <si>
    <t xml:space="preserve">v10</t>
  </si>
  <si>
    <t xml:space="preserve">growth profiles outside the 305-325 band (Jagens excluded)</t>
  </si>
  <si>
    <t xml:space="preserve">v11</t>
  </si>
  <si>
    <t xml:space="preserve">sects with zero Act 2 chapters (the Stepped Coast is the only legal case)</t>
  </si>
  <si>
    <t xml:space="preserve">v12</t>
  </si>
  <si>
    <t xml:space="preserve">chapters in act 2 with no column assigned</t>
  </si>
  <si>
    <t xml:space="preserve">v13</t>
  </si>
  <si>
    <t xml:space="preserve">Order-tier classes defined (matrix coverage, expect 25)</t>
  </si>
  <si>
    <t xml:space="preserve">v14</t>
  </si>
  <si>
    <t xml:space="preserve">consecutive-chapter objective repetition (manual review flag)</t>
  </si>
  <si>
    <t xml:space="preserve">v15</t>
  </si>
  <si>
    <t xml:space="preserve">chapters with no tonal_register assigned</t>
  </si>
  <si>
    <t xml:space="preserve">v16</t>
  </si>
  <si>
    <t xml:space="preserve">warm/wondrous chapters (target: 1 in every 4)</t>
  </si>
  <si>
    <t xml:space="preserve">v17</t>
  </si>
  <si>
    <t xml:space="preserve">regions whose scar has no material explanation</t>
  </si>
  <si>
    <t xml:space="preserve">v18</t>
  </si>
  <si>
    <t xml:space="preserve">regions whose scar has no sacred explanation</t>
  </si>
  <si>
    <t xml:space="preserve">v19</t>
  </si>
  <si>
    <t xml:space="preserve">Named pointing at a region that does not exist</t>
  </si>
  <si>
    <t xml:space="preserve">v20</t>
  </si>
  <si>
    <t xml:space="preserve">regions pointing at a Named that does not exist</t>
  </si>
  <si>
    <t xml:space="preserve">v21</t>
  </si>
  <si>
    <t xml:space="preserve">regions citing a sect that does not exist</t>
  </si>
  <si>
    <t xml:space="preserve">v22</t>
  </si>
  <si>
    <t xml:space="preserve">maps solvable by a single unit (warp-skip exposure)</t>
  </si>
  <si>
    <t xml:space="preserve">v23</t>
  </si>
  <si>
    <t xml:space="preserve">maps with fewer than 2 stated approaches</t>
  </si>
  <si>
    <t xml:space="preserve">v24</t>
  </si>
  <si>
    <t xml:space="preserve">maps with reinforcements but no den</t>
  </si>
  <si>
    <t xml:space="preserve">v25</t>
  </si>
  <si>
    <t xml:space="preserve">maps with no reinforcement_source declared</t>
  </si>
  <si>
    <t xml:space="preserve">BLOCKING VIOLATIONS</t>
  </si>
  <si>
    <t xml:space="preserve">Live referential integrity. Any blocking count above zero means the corpus has a dangling reference. canon_validate.py runs these plus the checks a formula cannot express and writes a violations CSV.</t>
  </si>
  <si>
    <t xml:space="preserve">region_id</t>
  </si>
  <si>
    <t xml:space="preserve">elevated_in</t>
  </si>
  <si>
    <t xml:space="preserve">scar</t>
  </si>
  <si>
    <t xml:space="preserve">explanation_sacred</t>
  </si>
  <si>
    <t xml:space="preserve">explanation_material</t>
  </si>
  <si>
    <t xml:space="preserve">claimed_by_sect_id</t>
  </si>
  <si>
    <t xml:space="preserve">named_id</t>
  </si>
  <si>
    <t xml:space="preserve">texture</t>
  </si>
  <si>
    <t xml:space="preserve">rgn_center</t>
  </si>
  <si>
    <t xml:space="preserve">the capital and its hinterland</t>
  </si>
  <si>
    <t xml:space="preserve">antique: the largest library on the continent, almost none of it originally theirs</t>
  </si>
  <si>
    <t xml:space="preserve">none (the center is unscarred, which it considers proof of favor)</t>
  </si>
  <si>
    <t xml:space="preserve">translations whose originals no longer exist; astronomers using tables computed a thousand miles east; physicians trained on a text the capital once condemned</t>
  </si>
  <si>
    <t xml:space="preserve">rgn_drowned_march</t>
  </si>
  <si>
    <t xml:space="preserve">socially: assembly-based succession, women holding property and title, contract law where the center has patronage</t>
  </si>
  <si>
    <t xml:space="preserve">a rift valley that filled; a lake with a visible former shoreline</t>
  </si>
  <si>
    <t xml:space="preserve">divine judgment on the old seat</t>
  </si>
  <si>
    <t xml:space="preserve">the ground simply dropped</t>
  </si>
  <si>
    <t xml:space="preserve">nmd_simurgh</t>
  </si>
  <si>
    <t xml:space="preserve">in dry years the top of a bell tower breaks the surface; villages sit on the new shoreline and farm the old one</t>
  </si>
  <si>
    <t xml:space="preserve">rgn_ashland</t>
  </si>
  <si>
    <t xml:space="preserve">the Ashland</t>
  </si>
  <si>
    <t xml:space="preserve">medically: hospitals with wards, optical and surgical instruments up the trade road</t>
  </si>
  <si>
    <t xml:space="preserve">a volcanic field; spectacular soil, bad air</t>
  </si>
  <si>
    <t xml:space="preserve">the earth was punished and the punishment feeds us</t>
  </si>
  <si>
    <t xml:space="preserve">ordinary vulcanism on a long cycle</t>
  </si>
  <si>
    <t xml:space="preserve">nmd_karkadann</t>
  </si>
  <si>
    <t xml:space="preserve">miasma tiles live here and stop being generic fog; people farm it anyway because the crops are extraordinary; the Miasma Warden class was born in this ground</t>
  </si>
  <si>
    <t xml:space="preserve">rgn_glass_flats</t>
  </si>
  <si>
    <t xml:space="preserve">the Glass Flats</t>
  </si>
  <si>
    <t xml:space="preserve">mathematically: algebra used for inheritance law, instruments, double-entry along the road</t>
  </si>
  <si>
    <t xml:space="preserve">fused ground, straight-edged, unmistakably made; nothing grows</t>
  </si>
  <si>
    <t xml:space="preserve">a weapon, a thousand years old, per the state</t>
  </si>
  <si>
    <t xml:space="preserve">a weapon, two hundred years old, per a manifest the Company's factors hold</t>
  </si>
  <si>
    <t xml:space="preserve">nmd_anzu</t>
  </si>
  <si>
    <t xml:space="preserve">Namibian register: white sky, hard noon light, mineral color, a single figure legible at distance. Beautiful, not gothic</t>
  </si>
  <si>
    <t xml:space="preserve">rgn_stepped_coast</t>
  </si>
  <si>
    <t xml:space="preserve">administratively: decimal officialdom, a labor tax, storehouse networks, knotted-cord records no living person can read</t>
  </si>
  <si>
    <t xml:space="preserve">three raised marine terraces, each a former shoreline, each with a ruined harbor at the wrong altitude</t>
  </si>
  <si>
    <t xml:space="preserve">the sea was driven back by an act of will</t>
  </si>
  <si>
    <t xml:space="preserve">the land rises on a schedule nobody is on</t>
  </si>
  <si>
    <t xml:space="preserve">nmd_shadhavar</t>
  </si>
  <si>
    <t xml:space="preserve">the quietest and most unsettling scar; purely tectonic and entirely undramatic</t>
  </si>
  <si>
    <t xml:space="preserve">rgn_the_throat</t>
  </si>
  <si>
    <t xml:space="preserve">the Throat</t>
  </si>
  <si>
    <t xml:space="preserve">commercially: credit instruments, brokerage, letters of exchange</t>
  </si>
  <si>
    <t xml:space="preserve">none; the road itself is the feature</t>
  </si>
  <si>
    <t xml:space="preserve">nmd_huma</t>
  </si>
  <si>
    <t xml:space="preserve">the Huma drifts here rather than nesting; it never lands, so it belongs to a road rather than a place</t>
  </si>
  <si>
    <t xml:space="preserve">DISCIPLINE: every scar supports at least two incompatible explanations and the game confirms none. Sacred vs material is one axis; human vs deity is another. The center is antique, the fringes are current -- learning MOVED east and came back translated, it was never suppressed.</t>
  </si>
  <si>
    <t xml:space="preserve">rgn_the_shoulder</t>
  </si>
  <si>
    <t xml:space="preserve">the Shoulder</t>
  </si>
  <si>
    <t xml:space="preserve">spiritually: the only place on the map everyone agrees is different, and nobody agrees why</t>
  </si>
  <si>
    <t xml:space="preserve">the mountain wall itself -- no scar, because nothing happened to it; it is simply higher than anywhere people can live</t>
  </si>
  <si>
    <t xml:space="preserve">the veil is thin and the dead are near</t>
  </si>
  <si>
    <t xml:space="preserve">the air thins and the body fails; men see things because they are suffocating slowly</t>
  </si>
  <si>
    <t xml:space="preserve">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</si>
  <si>
    <t xml:space="preserve">pact_object</t>
  </si>
  <si>
    <t xml:space="preserve">terms</t>
  </si>
  <si>
    <t xml:space="preserve">defection_trigger</t>
  </si>
  <si>
    <t xml:space="preserve">signature_mechanic</t>
  </si>
  <si>
    <t xml:space="preserve">the Simurgh</t>
  </si>
  <si>
    <t xml:space="preserve">the feather</t>
  </si>
  <si>
    <t xml:space="preserve">answers whoever holds the feather, and answers anyone who holds it</t>
  </si>
  <si>
    <t xml:space="preserve">the feather changes hands; she arrives green and stops being green</t>
  </si>
  <si>
    <t xml:space="preserve">5 HP/turn to rider and adjacent allies (flat, not percentage)</t>
  </si>
  <si>
    <t xml:space="preserve">cleanses corruption; the only thing that can strip a pact without a Pardoner, and will not do it on request</t>
  </si>
  <si>
    <t xml:space="preserve">the Huma</t>
  </si>
  <si>
    <t xml:space="preserve">no seal; it cannot be owned</t>
  </si>
  <si>
    <t xml:space="preserve">cannot be owned, only flown under; its shadow legitimizes whoever it falls on</t>
  </si>
  <si>
    <t xml:space="preserve">never defects because it was never yours</t>
  </si>
  <si>
    <t xml:space="preserve">MAP HAZARD, NOT A MOUNT: drifts overhead; marked units gain stats and become targeting priority for every enemy</t>
  </si>
  <si>
    <t xml:space="preserve">kill-taboo: whoever lands the blow dies in forty days, no reload undoes it</t>
  </si>
  <si>
    <t xml:space="preserve">the Anzu</t>
  </si>
  <si>
    <t xml:space="preserve">the register itself</t>
  </si>
  <si>
    <t xml:space="preserve">contracts with whoever can READ the register, not who owns it</t>
  </si>
  <si>
    <t xml:space="preserve">someone demonstrates literacy you lack; ties to the hidden-literacy thread</t>
  </si>
  <si>
    <t xml:space="preserve">contact degrades enemy weapons; only bites what is already worn; broken means unarmed, not dead</t>
  </si>
  <si>
    <t xml:space="preserve">COST: weapons it unmakes cannot be captured, so riding it starves your only supply line</t>
  </si>
  <si>
    <t xml:space="preserve">the Karkadann</t>
  </si>
  <si>
    <t xml:space="preserve">the nest it guards</t>
  </si>
  <si>
    <t xml:space="preserve">protects what it has decided to protect; nothing negotiates with it</t>
  </si>
  <si>
    <t xml:space="preserve">turns the moment you threaten the doves; state orders and its terms are simply incompatible</t>
  </si>
  <si>
    <t xml:space="preserve">strong against mounted units; devastating charge that leaves it stuck one turn</t>
  </si>
  <si>
    <t xml:space="preserve">the plain one on purpose -- the roster needs one straightforwardly good option</t>
  </si>
  <si>
    <t xml:space="preserve">the Shadhavar</t>
  </si>
  <si>
    <t xml:space="preserve">the song</t>
  </si>
  <si>
    <t xml:space="preserve">pacts through beauty; the lure is what it IS, not a trick it performs</t>
  </si>
  <si>
    <t xml:space="preserve">uncontrolled by design</t>
  </si>
  <si>
    <t xml:space="preserve">every turn, pulls the nearest enemy one tile toward the rider; CANNOT be turned off</t>
  </si>
  <si>
    <t xml:space="preserve">liability on escort maps, asset on defend maps</t>
  </si>
  <si>
    <t xml:space="preserve">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</si>
  <si>
    <t xml:space="preserve">state_id</t>
  </si>
  <si>
    <t xml:space="preserve">constitution</t>
  </si>
  <si>
    <t xml:space="preserve">claim_against_the_other</t>
  </si>
  <si>
    <t xml:space="preserve">court_sect_id</t>
  </si>
  <si>
    <t xml:space="preserve">st_diadem</t>
  </si>
  <si>
    <t xml:space="preserve">the Diadem</t>
  </si>
  <si>
    <t xml:space="preserve">Kaisareia</t>
  </si>
  <si>
    <t xml:space="preserve">crowned succession; the older claim</t>
  </si>
  <si>
    <t xml:space="preserve">calls the Assembly a usurpation of an office that cannot be elected</t>
  </si>
  <si>
    <t xml:space="preserve">st_assembly</t>
  </si>
  <si>
    <t xml:space="preserve">the Assembly</t>
  </si>
  <si>
    <t xml:space="preserve">Vetch</t>
  </si>
  <si>
    <t xml:space="preserve">elective succession; assembly of the great houses</t>
  </si>
  <si>
    <t xml:space="preserve">calls the Diadem a crown worn by whoever survived the last one</t>
  </si>
  <si>
    <t xml:space="preserve">socially current: contract law, property held by women, succession by assent</t>
  </si>
  <si>
    <t xml:space="preserve">Both successors claim the same inheritance and use the same word for themselves, the way the eastern empire went on calling itself Roman. The war ended; the claim did not. Neither is the villain and neither is right.</t>
  </si>
  <si>
    <t xml:space="preserve">defection_id</t>
  </si>
  <si>
    <t xml:space="preserve">kind</t>
  </si>
  <si>
    <t xml:space="preserve">why_they_were_contingent</t>
  </si>
  <si>
    <t xml:space="preserve">recruitable_back</t>
  </si>
  <si>
    <t xml:space="preserve">signposting</t>
  </si>
  <si>
    <t xml:space="preserve">def_waldrada</t>
  </si>
  <si>
    <t xml:space="preserve">scripted</t>
  </si>
  <si>
    <t xml:space="preserve">act 2</t>
  </si>
  <si>
    <t xml:space="preserve">serves the state that beat her country; loyalty was always contingent</t>
  </si>
  <si>
    <t xml:space="preserve">the Vashti campaign becomes an occupation she will not carry orders for</t>
  </si>
  <si>
    <t xml:space="preserve">signposted across Act 1 supports and her conduct on sect maps</t>
  </si>
  <si>
    <t xml:space="preserve">def_anselm</t>
  </si>
  <si>
    <t xml:space="preserve">theology barometer; has been asking the question the whole game</t>
  </si>
  <si>
    <t xml:space="preserve">the crown answers with the court sect: obedience belongs to the throne</t>
  </si>
  <si>
    <t xml:space="preserve">a theological event, not a grievance; he says so before he goes</t>
  </si>
  <si>
    <t xml:space="preserve">def_maren</t>
  </si>
  <si>
    <t xml:space="preserve">conditional</t>
  </si>
  <si>
    <t xml:space="preserve">born of the plague; bound for the Miasma Warden line</t>
  </si>
  <si>
    <t xml:space="preserve">the state's medicine policy writes off the Ashland in triage</t>
  </si>
  <si>
    <t xml:space="preserve">caused by a supply decision several chapters earlier; reversible by a different one</t>
  </si>
  <si>
    <t xml:space="preserve">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</si>
  <si>
    <t xml:space="preserve">location_id</t>
  </si>
  <si>
    <t xml:space="preserve">chapters</t>
  </si>
  <si>
    <t xml:space="preserve">acts</t>
  </si>
  <si>
    <t xml:space="preserve">what_the_ground_is_for</t>
  </si>
  <si>
    <t xml:space="preserve">loc_tally_house</t>
  </si>
  <si>
    <t xml:space="preserve">Kaisareia dockside, the tally house</t>
  </si>
  <si>
    <t xml:space="preserve">1, 26</t>
  </si>
  <si>
    <t xml:space="preserve">1, 3</t>
  </si>
  <si>
    <t xml:space="preserve">night docks, neutral porters; where the avatar starts as a clerk</t>
  </si>
  <si>
    <t xml:space="preserve">loc_weighbridge</t>
  </si>
  <si>
    <t xml:space="preserve">The weighbridge, lowland estates</t>
  </si>
  <si>
    <t xml:space="preserve">hedgerow country; a requisition writ enforced on a reluctant house</t>
  </si>
  <si>
    <t xml:space="preserve">loc_grain_road</t>
  </si>
  <si>
    <t xml:space="preserve">3, 24</t>
  </si>
  <si>
    <t xml:space="preserve">bridge choke and a foot-only ford; wagons move 4</t>
  </si>
  <si>
    <t xml:space="preserve">loc_thessala</t>
  </si>
  <si>
    <t xml:space="preserve">Thessala harbour</t>
  </si>
  <si>
    <t xml:space="preserve">4</t>
  </si>
  <si>
    <t xml:space="preserve">south coast; grain bought abroad, unloaded under protest</t>
  </si>
  <si>
    <t xml:space="preserve">loc_salt_ford</t>
  </si>
  <si>
    <t xml:space="preserve">The salt ford, lower Scar</t>
  </si>
  <si>
    <t xml:space="preserve">5, 27</t>
  </si>
  <si>
    <t xml:space="preserve">the rift crossed where it is shallow; the only southern crossing</t>
  </si>
  <si>
    <t xml:space="preserve">loc_anthe</t>
  </si>
  <si>
    <t xml:space="preserve">Anthe, on the terraces</t>
  </si>
  <si>
    <t xml:space="preserve">6</t>
  </si>
  <si>
    <t xml:space="preserve">a port stranded above its own water; three levels of street</t>
  </si>
  <si>
    <t xml:space="preserve">loc_stranded_harbour</t>
  </si>
  <si>
    <t xml:space="preserve">The stranded harbour</t>
  </si>
  <si>
    <t xml:space="preserve">7</t>
  </si>
  <si>
    <t xml:space="preserve">ruin on the middle terrace; the renunciants live in it</t>
  </si>
  <si>
    <t xml:space="preserve">loc_dry_country</t>
  </si>
  <si>
    <t xml:space="preserve">The dry country</t>
  </si>
  <si>
    <t xml:space="preserve">8, 23</t>
  </si>
  <si>
    <t xml:space="preserve">open ground, no cover, the map that punishes slow armies</t>
  </si>
  <si>
    <t xml:space="preserve">loc_vashti_road</t>
  </si>
  <si>
    <t xml:space="preserve">The Vashti road</t>
  </si>
  <si>
    <t xml:space="preserve">9</t>
  </si>
  <si>
    <t xml:space="preserve">the single road east; lava fans narrow it to one lane in places</t>
  </si>
  <si>
    <t xml:space="preserve">loc_vashti_gate</t>
  </si>
  <si>
    <t xml:space="preserve">Vashti gate</t>
  </si>
  <si>
    <t xml:space="preserve">10, 12, 28</t>
  </si>
  <si>
    <t xml:space="preserve">1, 2, 3</t>
  </si>
  <si>
    <t xml:space="preserve">the occupied seat; the Unstained will not talk to you</t>
  </si>
  <si>
    <t xml:space="preserve">loc_vetch_gate</t>
  </si>
  <si>
    <t xml:space="preserve">Vetch, the winter dole</t>
  </si>
  <si>
    <t xml:space="preserve">medicine cart to a gate; civilians chase it, looters follow</t>
  </si>
  <si>
    <t xml:space="preserve">loc_still_town</t>
  </si>
  <si>
    <t xml:space="preserve">The apothecary town</t>
  </si>
  <si>
    <t xml:space="preserve">three streets of different widths; a preacher converting one a turn</t>
  </si>
  <si>
    <t xml:space="preserve">loc_chapterhouse</t>
  </si>
  <si>
    <t xml:space="preserve">The ruined chapterhouse</t>
  </si>
  <si>
    <t xml:space="preserve">escape map; relic hunters reinforce forever; a reliquary to take or give</t>
  </si>
  <si>
    <t xml:space="preserve">loc_halder</t>
  </si>
  <si>
    <t xml:space="preserve">Halder harbour</t>
  </si>
  <si>
    <t xml:space="preserve">north coast; exotic medicines bought from people who know it</t>
  </si>
  <si>
    <t xml:space="preserve">loc_lake_shore</t>
  </si>
  <si>
    <t xml:space="preserve">The lake shore</t>
  </si>
  <si>
    <t xml:space="preserve">5, 25</t>
  </si>
  <si>
    <t xml:space="preserve">the drowned town; a bell tower breaking the surface in dry years</t>
  </si>
  <si>
    <t xml:space="preserve">loc_ostrova</t>
  </si>
  <si>
    <t xml:space="preserve">Ostrova and the marches</t>
  </si>
  <si>
    <t xml:space="preserve">steppe edge; the Assembly's eastern city, closer to the Plains than to Vetch</t>
  </si>
  <si>
    <t xml:space="preserve">loc_upper_scar</t>
  </si>
  <si>
    <t xml:space="preserve">The upper Scar</t>
  </si>
  <si>
    <t xml:space="preserve">7, 27</t>
  </si>
  <si>
    <t xml:space="preserve">escarpment fighting; the rift where it is still a cliff</t>
  </si>
  <si>
    <t xml:space="preserve">loc_timber_road</t>
  </si>
  <si>
    <t xml:space="preserve">The timber road</t>
  </si>
  <si>
    <t xml:space="preserve">forest; the map where fliers are worthless and archers are not</t>
  </si>
  <si>
    <t xml:space="preserve">loc_march_shrine</t>
  </si>
  <si>
    <t xml:space="preserve">The March shrine</t>
  </si>
  <si>
    <t xml:space="preserve">living prophecy; a sect that thinks revelation never stopped</t>
  </si>
  <si>
    <t xml:space="preserve">loc_vetch_chapel</t>
  </si>
  <si>
    <t xml:space="preserve">The King's Chapel, Vetch</t>
  </si>
  <si>
    <t xml:space="preserve">the court sect at home; obedience belongs to the throne</t>
  </si>
  <si>
    <t xml:space="preserve">loc_muster_field</t>
  </si>
  <si>
    <t xml:space="preserve">The muster field</t>
  </si>
  <si>
    <t xml:space="preserve">11, 30</t>
  </si>
  <si>
    <t xml:space="preserve">2, 3</t>
  </si>
  <si>
    <t xml:space="preserve">largest map; whole army deployed once; two timed objectives, one force</t>
  </si>
  <si>
    <t xml:space="preserve">loc_cinder_track</t>
  </si>
  <si>
    <t xml:space="preserve">The cinder track</t>
  </si>
  <si>
    <t xml:space="preserve">14, 16</t>
  </si>
  <si>
    <t xml:space="preserve">column A; ash underfoot, bad air, the Karkadann's country</t>
  </si>
  <si>
    <t xml:space="preserve">loc_caravanserai</t>
  </si>
  <si>
    <t xml:space="preserve">Lade caravanserai</t>
  </si>
  <si>
    <t xml:space="preserve">13, 15</t>
  </si>
  <si>
    <t xml:space="preserve">column B; prices rise every turn a fight is visible in the bazaar</t>
  </si>
  <si>
    <t xml:space="preserve">loc_throat_pass</t>
  </si>
  <si>
    <t xml:space="preserve">The Throat pass</t>
  </si>
  <si>
    <t xml:space="preserve">17, 19</t>
  </si>
  <si>
    <t xml:space="preserve">column B; the road east, held by whoever taxes it this year</t>
  </si>
  <si>
    <t xml:space="preserve">loc_glass_edge</t>
  </si>
  <si>
    <t xml:space="preserve">The edge of the Glass Flats</t>
  </si>
  <si>
    <t xml:space="preserve">18, 29</t>
  </si>
  <si>
    <t xml:space="preserve">column A; straight-edged fused ground, nothing grows, nobody agrees why</t>
  </si>
  <si>
    <t xml:space="preserve">loc_reunion_field</t>
  </si>
  <si>
    <t xml:space="preserve">The reunion</t>
  </si>
  <si>
    <t xml:space="preserve">20</t>
  </si>
  <si>
    <t xml:space="preserve">columns meet; whatever each lost is visible in what each brings</t>
  </si>
  <si>
    <t xml:space="preserve">loc_kaisareia_walls</t>
  </si>
  <si>
    <t xml:space="preserve">Kaisareia, the granary district</t>
  </si>
  <si>
    <t xml:space="preserve">21, 22</t>
  </si>
  <si>
    <t xml:space="preserve">the capital as a battlefield; the synod's colossus is fed from here</t>
  </si>
  <si>
    <t xml:space="preserve">loc_simurgh_nest</t>
  </si>
  <si>
    <t xml:space="preserve">The mountain above the lake</t>
  </si>
  <si>
    <t xml:space="preserve">P</t>
  </si>
  <si>
    <t xml:space="preserve">the Simurgh; a foster-mother who answers whoever holds the feather</t>
  </si>
  <si>
    <t xml:space="preserve">loc_dove_colony</t>
  </si>
  <si>
    <t xml:space="preserve">The dove colony</t>
  </si>
  <si>
    <t xml:space="preserve">the Karkadann; it guards what it has decided to guard</t>
  </si>
  <si>
    <t xml:space="preserve">loc_flats_interior</t>
  </si>
  <si>
    <t xml:space="preserve">The interior of the Flats</t>
  </si>
  <si>
    <t xml:space="preserve">the Anzu; arrows come apart, and it reads what you cannot</t>
  </si>
  <si>
    <t xml:space="preserve">loc_lowest_terrace</t>
  </si>
  <si>
    <t xml:space="preserve">The lowest terrace</t>
  </si>
  <si>
    <t xml:space="preserve">the Shadhavar; the song pulls the nearest enemy one tile a turn</t>
  </si>
  <si>
    <t xml:space="preserve">loc_open_road</t>
  </si>
  <si>
    <t xml:space="preserve">The open road (no fixed site)</t>
  </si>
  <si>
    <t xml:space="preserve">the Huma; it never lands, so it belongs to a road, not a place</t>
  </si>
  <si>
    <t xml:space="preserve">loc_hermit_lake</t>
  </si>
  <si>
    <t xml:space="preserve">The saint's lake</t>
  </si>
  <si>
    <t xml:space="preserve">a hermit who refuses to adjudicate; fisher cult around him</t>
  </si>
  <si>
    <t xml:space="preserve">loc_north_wind</t>
  </si>
  <si>
    <t xml:space="preserve">The north wind</t>
  </si>
  <si>
    <t xml:space="preserve">the second hermit; likewise refuses</t>
  </si>
  <si>
    <t xml:space="preserve">loc_buried_works</t>
  </si>
  <si>
    <t xml:space="preserve">The buried works, under Vashti</t>
  </si>
  <si>
    <t xml:space="preserve">records, complicit clerks, a shrine built over a facility</t>
  </si>
  <si>
    <t xml:space="preserve">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</si>
  <si>
    <t xml:space="preserve">polity_id</t>
  </si>
  <si>
    <t xml:space="preserve">holds</t>
  </si>
  <si>
    <t xml:space="preserve">stance_on_the_war</t>
  </si>
  <si>
    <t xml:space="preserve">condition</t>
  </si>
  <si>
    <t xml:space="preserve">naval_posture</t>
  </si>
  <si>
    <t xml:space="preserve">comparative_advantage</t>
  </si>
  <si>
    <t xml:space="preserve">pol_diadem</t>
  </si>
  <si>
    <t xml:space="preserve">The Diadem</t>
  </si>
  <si>
    <t xml:space="preserve">crowned succession</t>
  </si>
  <si>
    <t xml:space="preserve">the rift peninsula, the Cindered Plains (occupied)</t>
  </si>
  <si>
    <t xml:space="preserve">war victor; claims the whole inheritance</t>
  </si>
  <si>
    <t xml:space="preserve">small, dry, damaged; feeding it is the entire Act 1 problem</t>
  </si>
  <si>
    <t xml:space="preserve">THE SEA POWER: war galleys out of Thessala, warm water, year-round; a fire weapon nobody else has and nobody else understands</t>
  </si>
  <si>
    <t xml:space="preserve">reach -- it can feed itself from anywhere with a coast</t>
  </si>
  <si>
    <t xml:space="preserve">pol_assembly</t>
  </si>
  <si>
    <t xml:space="preserve">The Assembly</t>
  </si>
  <si>
    <t xml:space="preserve">elective; the great houses assent</t>
  </si>
  <si>
    <t xml:space="preserve">the taiga belt and the forest lakes</t>
  </si>
  <si>
    <t xml:space="preserve">war victor; calls the Diadem a crown worn by whoever survived</t>
  </si>
  <si>
    <t xml:space="preserve">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</si>
  <si>
    <t xml:space="preserve">no fleet and no shipwrights; Halder ices shut a third of the year</t>
  </si>
  <si>
    <t xml:space="preserve">interior lines, timber, horses -- and credit: it HIRES fleets it cannot build</t>
  </si>
  <si>
    <t xml:space="preserve">pol_league</t>
  </si>
  <si>
    <t xml:space="preserve">The Toll League</t>
  </si>
  <si>
    <t xml:space="preserve">no sovereign; three cities, one treaty</t>
  </si>
  <si>
    <t xml:space="preserve">Lade, Sarn, Kesh</t>
  </si>
  <si>
    <t xml:space="preserve">the caravan road and its oases</t>
  </si>
  <si>
    <t xml:space="preserve">neutral by policy, because both sides must pay to eat</t>
  </si>
  <si>
    <t xml:space="preserve">the Company's power base; grace as circulating credit is THEIR doctrine</t>
  </si>
  <si>
    <t xml:space="preserve">none; the League is a road, not a coast</t>
  </si>
  <si>
    <t xml:space="preserve">the only gap in the mountain wall, and it charges for it</t>
  </si>
  <si>
    <t xml:space="preserve">pol_rivers</t>
  </si>
  <si>
    <t xml:space="preserve">The River Kingdoms</t>
  </si>
  <si>
    <t xml:space="preserve">twelve old cities, rotating primacy</t>
  </si>
  <si>
    <t xml:space="preserve">Anbar</t>
  </si>
  <si>
    <t xml:space="preserve">the eastern river valley and delta</t>
  </si>
  <si>
    <t xml:space="preserve">indifferent; both successor states are provincial to them</t>
  </si>
  <si>
    <t xml:space="preserve">oldest continuous cities on the map; the lending houses; where learning comes from</t>
  </si>
  <si>
    <t xml:space="preserve">river craft only, but they finance everyone else's ships</t>
  </si>
  <si>
    <t xml:space="preserve">capital, and the oldest continuous records on the map</t>
  </si>
  <si>
    <t xml:space="preserve">pol_clans</t>
  </si>
  <si>
    <t xml:space="preserve">The Herd Clans</t>
  </si>
  <si>
    <t xml:space="preserve">no state; assemblies and horse-camps</t>
  </si>
  <si>
    <t xml:space="preserve">the high plateau</t>
  </si>
  <si>
    <t xml:space="preserve">the Assembly's elective constitution came from here, which the Diadem calls proof of barbarism</t>
  </si>
  <si>
    <t xml:space="preserve">cannot be conquered because there is nothing to seize</t>
  </si>
  <si>
    <t xml:space="preserve">pol_ports</t>
  </si>
  <si>
    <t xml:space="preserve">The Green Ports</t>
  </si>
  <si>
    <t xml:space="preserve">port councils, each independent</t>
  </si>
  <si>
    <t xml:space="preserve">Sindar</t>
  </si>
  <si>
    <t xml:space="preserve">the monsoon coast</t>
  </si>
  <si>
    <t xml:space="preserve">sells grain to anyone; the Diadem's fleet goes here</t>
  </si>
  <si>
    <t xml:space="preserve">wet, rich, and entirely uninterested in the war</t>
  </si>
  <si>
    <t xml:space="preserve">the best merchant hulls afloat, and no navy at all</t>
  </si>
  <si>
    <t xml:space="preserve">grain, and a policy of selling it to both sides</t>
  </si>
  <si>
    <t xml:space="preserve">pol_isles</t>
  </si>
  <si>
    <t xml:space="preserve">The Isles</t>
  </si>
  <si>
    <t xml:space="preserve">fisher communes; no central authority</t>
  </si>
  <si>
    <t xml:space="preserve">Pelagos</t>
  </si>
  <si>
    <t xml:space="preserve">the scattered isles</t>
  </si>
  <si>
    <t xml:space="preserve">outside every claim</t>
  </si>
  <si>
    <t xml:space="preserve">a hermit saint lives here and refuses to adjudicate anything</t>
  </si>
  <si>
    <t xml:space="preserve">fishing boats that know water no chart shows</t>
  </si>
  <si>
    <t xml:space="preserve">pilotage -- the Isles' crews are why anyone crosses safely</t>
  </si>
  <si>
    <t xml:space="preserve">Seven polities, three constitutions (crowned / elective / none). The war was between two of them; the other five have opinions about it and no obligation to act on them. A map with only two sovereigns reads as a duel, not a world.</t>
  </si>
  <si>
    <t xml:space="preserve">settlement_id</t>
  </si>
  <si>
    <t xml:space="preserve">set_kaisareia</t>
  </si>
  <si>
    <t xml:space="preserve">living</t>
  </si>
  <si>
    <t xml:space="preserve">twin city on both banks at the rift narrows; capital because the gap is defensible</t>
  </si>
  <si>
    <t xml:space="preserve">set_anthe</t>
  </si>
  <si>
    <t xml:space="preserve">Anthe</t>
  </si>
  <si>
    <t xml:space="preserve">shrunken</t>
  </si>
  <si>
    <t xml:space="preserve">port on the terraces; its harbour is two levels below the town and dry</t>
  </si>
  <si>
    <t xml:space="preserve">set_thessala</t>
  </si>
  <si>
    <t xml:space="preserve">Thessala</t>
  </si>
  <si>
    <t xml:space="preserve">south coast; where the grain fleet sails from</t>
  </si>
  <si>
    <t xml:space="preserve">set_nikaia</t>
  </si>
  <si>
    <t xml:space="preserve">Nikaia</t>
  </si>
  <si>
    <t xml:space="preserve">six hundred people inside walls built for twenty thousand; fields grow between the quarters</t>
  </si>
  <si>
    <t xml:space="preserve">set_vashti</t>
  </si>
  <si>
    <t xml:space="preserve">Vashti</t>
  </si>
  <si>
    <t xml:space="preserve">occupied seat in the volcanic field; the Unstained will not take sacraments here</t>
  </si>
  <si>
    <t xml:space="preserve">set_sardeis</t>
  </si>
  <si>
    <t xml:space="preserve">Sardeis</t>
  </si>
  <si>
    <t xml:space="preserve">ruin</t>
  </si>
  <si>
    <t xml:space="preserve">burned in the war; the Diadem has not rebuilt it and does not intend to</t>
  </si>
  <si>
    <t xml:space="preserve">set_vetch</t>
  </si>
  <si>
    <t xml:space="preserve">the Assembly's seat; timber walls on stone foundations that are much older Act 1: no confirmed quorum among the great houses -- the council currently governing is a rump, not a settled government.</t>
  </si>
  <si>
    <t xml:space="preserve">set_halder</t>
  </si>
  <si>
    <t xml:space="preserve">Halder</t>
  </si>
  <si>
    <t xml:space="preserve">north coast; the sea ices in and the port closes for a third of the year</t>
  </si>
  <si>
    <t xml:space="preserve">set_marrow</t>
  </si>
  <si>
    <t xml:space="preserve">Marrow</t>
  </si>
  <si>
    <t xml:space="preserve">the apothecary town; three streets of different widths, and the plague took half of it</t>
  </si>
  <si>
    <t xml:space="preserve">set_ostrova</t>
  </si>
  <si>
    <t xml:space="preserve">Ostrova</t>
  </si>
  <si>
    <t xml:space="preserve">on the plateau edge; closer to the horse-camps than to Vetch, and it shows</t>
  </si>
  <si>
    <t xml:space="preserve">set_kolm</t>
  </si>
  <si>
    <t xml:space="preserve">Kolm</t>
  </si>
  <si>
    <t xml:space="preserve">abandoned to the plague, not to war; nobody has gone back in</t>
  </si>
  <si>
    <t xml:space="preserve">set_lade</t>
  </si>
  <si>
    <t xml:space="preserve">Lade</t>
  </si>
  <si>
    <t xml:space="preserve">first oasis past the wall; the caravanserai where prices rise when a fight is visible</t>
  </si>
  <si>
    <t xml:space="preserve">set_sarn</t>
  </si>
  <si>
    <t xml:space="preserve">Sarn</t>
  </si>
  <si>
    <t xml:space="preserve">middle oasis; the League's treaty was signed here and is re-read aloud yearly</t>
  </si>
  <si>
    <t xml:space="preserve">set_kesh</t>
  </si>
  <si>
    <t xml:space="preserve">Kesh</t>
  </si>
  <si>
    <t xml:space="preserve">last oasis before the river valley; where the road's tolls are actually collected</t>
  </si>
  <si>
    <t xml:space="preserve">set_anbar</t>
  </si>
  <si>
    <t xml:space="preserve">the lending houses; grain bought on credit against a harvest nobody has seen</t>
  </si>
  <si>
    <t xml:space="preserve">set_nirash</t>
  </si>
  <si>
    <t xml:space="preserve">Nirash</t>
  </si>
  <si>
    <t xml:space="preserve">delta city; older than the Diadem's oldest record of itself</t>
  </si>
  <si>
    <t xml:space="preserve">set_eresh</t>
  </si>
  <si>
    <t xml:space="preserve">Eresh</t>
  </si>
  <si>
    <t xml:space="preserve">tell</t>
  </si>
  <si>
    <t xml:space="preserve">a mound with a modern village on top; the city underneath is still being dug out of it</t>
  </si>
  <si>
    <t xml:space="preserve">set_sindar</t>
  </si>
  <si>
    <t xml:space="preserve">monsoon port; sells grain to both sides and does not pretend otherwise</t>
  </si>
  <si>
    <t xml:space="preserve">set_pelagos</t>
  </si>
  <si>
    <t xml:space="preserve">fisher commune; the saint lives on the next island and they feed him</t>
  </si>
  <si>
    <t xml:space="preserve">set_stranded</t>
  </si>
  <si>
    <t xml:space="preserve">the stranded harbour</t>
  </si>
  <si>
    <t xml:space="preserve">on the middle terrace, high above the waterline; the renunciants live in it</t>
  </si>
  <si>
    <t xml:space="preserve">STATUS is the density argument. living / shrunken (walls too big for the people in them) / ruin (emptied by war or plague, recently) / tell (a mound with a village on top and a city underneath). The world is not pre-urban, it is post-urban. 20 named settlements against 7 polities.</t>
  </si>
  <si>
    <t xml:space="preserve">era_id</t>
  </si>
  <si>
    <t xml:space="preserve">when</t>
  </si>
  <si>
    <t xml:space="preserve">shape</t>
  </si>
  <si>
    <t xml:space="preserve">what_happened</t>
  </si>
  <si>
    <t xml:space="preserve">what_it_means_now</t>
  </si>
  <si>
    <t xml:space="preserve">how_the_game_uses_it</t>
  </si>
  <si>
    <t xml:space="preserve">era_cities</t>
  </si>
  <si>
    <t xml:space="preserve">The Hundred Cities</t>
  </si>
  <si>
    <t xml:space="preserve">~800 years before</t>
  </si>
  <si>
    <t xml:space="preserve">Akkadian register</t>
  </si>
  <si>
    <t xml:space="preserve">every valley held a city-state with its own patron, temple and king</t>
  </si>
  <si>
    <t xml:space="preserve">the patrons were NAMED PARTIES WITH TERMS, not metaphors</t>
  </si>
  <si>
    <t xml:space="preserve">flashback chapters F1-F3: different roster, chariots, no requisition, no permadeath</t>
  </si>
  <si>
    <t xml:space="preserve">era_binding</t>
  </si>
  <si>
    <t xml:space="preserve">The Binding of Sargath</t>
  </si>
  <si>
    <t xml:space="preserve">~780 years before</t>
  </si>
  <si>
    <t xml:space="preserve">Sargath of Ur-Nashet binds the rest</t>
  </si>
  <si>
    <t xml:space="preserve">the First Register is written: which patron owes what to whom</t>
  </si>
  <si>
    <t xml:space="preserve">every pact in the present is a clause in a treaty nobody alive negotiated</t>
  </si>
  <si>
    <t xml:space="preserve">the founding crime; the demons the nobles borrow from are deposed city-patrons</t>
  </si>
  <si>
    <t xml:space="preserve">era_empire</t>
  </si>
  <si>
    <t xml:space="preserve">The Long Reign</t>
  </si>
  <si>
    <t xml:space="preserve">780-90 years before</t>
  </si>
  <si>
    <t xml:space="preserve">one realm, one church</t>
  </si>
  <si>
    <t xml:space="preserve">the church that held it together was not telling the truth</t>
  </si>
  <si>
    <t xml:space="preserve">learning moved east and came back translated; the capital lived on inheritance</t>
  </si>
  <si>
    <t xml:space="preserve">the age the Diadem still thinks it is living in</t>
  </si>
  <si>
    <t xml:space="preserve">era_venerated</t>
  </si>
  <si>
    <t xml:space="preserve">The Venerated</t>
  </si>
  <si>
    <t xml:space="preserve">~90-40 years before</t>
  </si>
  <si>
    <t xml:space="preserve">a person, and then an absence</t>
  </si>
  <si>
    <t xml:space="preserve">what they did is disputed; whether they died is disputed; the tomb is disputed</t>
  </si>
  <si>
    <t xml:space="preserve">the sects are five answers to one question the game never settles</t>
  </si>
  <si>
    <t xml:space="preserve">no depiction survives that all parties accept as authentic</t>
  </si>
  <si>
    <t xml:space="preserve">era_war</t>
  </si>
  <si>
    <t xml:space="preserve">The War of the Two Claims</t>
  </si>
  <si>
    <t xml:space="preserve">40-1 years before</t>
  </si>
  <si>
    <t xml:space="preserve">the realm splits</t>
  </si>
  <si>
    <t xml:space="preserve">crowned succession against elective succession; both call themselves the inheritance</t>
  </si>
  <si>
    <t xml:space="preserve">ended in exhaustion, not victory; the claim did not end</t>
  </si>
  <si>
    <t xml:space="preserve">Act 1 opens in the year after</t>
  </si>
  <si>
    <t xml:space="preserve">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</si>
  <si>
    <t xml:space="preserve">era_sargath_note</t>
  </si>
  <si>
    <t xml:space="preserve">Sargath, the binder</t>
  </si>
  <si>
    <t xml:space="preserve">the figure, not the age</t>
  </si>
  <si>
    <t xml:space="preserve">a city-king who made the first empire and the first register in the same act</t>
  </si>
  <si>
    <t xml:space="preserve">he did not kill the patrons; he WROTE THEM DOWN, which turned gods into signatories</t>
  </si>
  <si>
    <t xml:space="preserve">the register is his instrument and it outlived his empire by seven centuries</t>
  </si>
  <si>
    <t xml:space="preserve">named for a real child; the sound is right and the etymology is nobody's</t>
  </si>
  <si>
    <t xml:space="preserve">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</si>
  <si>
    <t xml:space="preserve">flashback_id</t>
  </si>
  <si>
    <t xml:space="preserve">slot</t>
  </si>
  <si>
    <t xml:space="preserve">position</t>
  </si>
  <si>
    <t xml:space="preserve">premise</t>
  </si>
  <si>
    <t xml:space="preserve">rules_that_differ</t>
  </si>
  <si>
    <t xml:space="preserve">what_it_teaches</t>
  </si>
  <si>
    <t xml:space="preserve">the_turn</t>
  </si>
  <si>
    <t xml:space="preserve">fb_f0</t>
  </si>
  <si>
    <t xml:space="preserve">F0</t>
  </si>
  <si>
    <t xml:space="preserve">PROLOGUE</t>
  </si>
  <si>
    <t xml:space="preserve">Ur-Nashet, the night of the binding</t>
  </si>
  <si>
    <t xml:space="preserve">the player's first battle is 800 years early, in a city that no longer exists</t>
  </si>
  <si>
    <t xml:space="preserve">chariots, no requisition, no permadeath, no forge; one weapon each, no repair</t>
  </si>
  <si>
    <t xml:space="preserve">teaches: movement, terrain cost, the weapon triangle -- nothing else</t>
  </si>
  <si>
    <t xml:space="preserve">ends with the city taken and its patron written into a book; the player did that. THE NAME IS NEVER SHOWN: the scribe's hand covers the page, the angle is wrong, the rain is on it. The player performs the founding crime without learning what was written.</t>
  </si>
  <si>
    <t xml:space="preserve">fb_f1</t>
  </si>
  <si>
    <t xml:space="preserve">F1</t>
  </si>
  <si>
    <t xml:space="preserve">act 1 -&gt; 2</t>
  </si>
  <si>
    <t xml:space="preserve">The scribes' quarter</t>
  </si>
  <si>
    <t xml:space="preserve">the First Register is copied for the first time, under deadline</t>
  </si>
  <si>
    <t xml:space="preserve">protect the copyists; a page is lost and the game does not tell you which</t>
  </si>
  <si>
    <t xml:space="preserve">teaches: the epithet ledger, by showing you a clerk recording deeds</t>
  </si>
  <si>
    <t xml:space="preserve">the missing name enters the world here, as an accident nobody notices</t>
  </si>
  <si>
    <t xml:space="preserve">fb_f2</t>
  </si>
  <si>
    <t xml:space="preserve">F2</t>
  </si>
  <si>
    <t xml:space="preserve">act 2 -&gt; 3</t>
  </si>
  <si>
    <t xml:space="preserve">The last court of the Long Reign</t>
  </si>
  <si>
    <t xml:space="preserve">the church that held the realm together, on the day it stopped being believed</t>
  </si>
  <si>
    <t xml:space="preserve">a defence with no reinforcements and no supply; the state simply runs out</t>
  </si>
  <si>
    <t xml:space="preserve">teaches: what the pact layer costs, by letting you spend it freely and lose anyway</t>
  </si>
  <si>
    <t xml:space="preserve">the only flashback the player can lose without a restart; losing is the ending</t>
  </si>
  <si>
    <t xml:space="preserve">A flashback may legally break the map laws: it is a memory and it is teaching, not testing. F0 as prologue means the player's first act in the game is the founding crime, performed before they know it is one. Different roster each time; nobody in a flashback is recruitable.</t>
  </si>
  <si>
    <t xml:space="preserve">THE WITHHELD NAME. The player never sees what Nashar writes, in F0 or anywhere after. This is</t>
  </si>
  <si>
    <t xml:space="preserve">the spine of the whole epistemology: the game is about people arguing over a record none of them</t>
  </si>
  <si>
    <t xml:space="preserve">can fully read, and the player must be INSIDE that condition rather than above it. Showing the</t>
  </si>
  <si>
    <t xml:space="preserve">name would make the player a holder of secret knowledge and quietly convert five sects into four</t>
  </si>
  <si>
    <t xml:space="preserve">wrong ones. It also means F1's copying accident lands as loss rather than as dramatic irony --</t>
  </si>
  <si>
    <t xml:space="preserve">nobody in the world knows what went missing, including the person who was in the room.</t>
  </si>
  <si>
    <t xml:space="preserve">punit_id</t>
  </si>
  <si>
    <t xml:space="preserve">move</t>
  </si>
  <si>
    <t xml:space="preserve">what_they_do</t>
  </si>
  <si>
    <t xml:space="preserve">ancestor_of</t>
  </si>
  <si>
    <t xml:space="preserve">dmg_vs_statue</t>
  </si>
  <si>
    <t xml:space="preserve">pu_sargath</t>
  </si>
  <si>
    <t xml:space="preserve">Sargath</t>
  </si>
  <si>
    <t xml:space="preserve">king; sword and authority</t>
  </si>
  <si>
    <t xml:space="preserve">must personally seize the temple terrace</t>
  </si>
  <si>
    <t xml:space="preserve">objectives that require a specific unit</t>
  </si>
  <si>
    <t xml:space="preserve">the Strategist line</t>
  </si>
  <si>
    <t xml:space="preserve">the one time in the whole game the player commands a head of state in person</t>
  </si>
  <si>
    <t xml:space="preserve">pu_enmet</t>
  </si>
  <si>
    <t xml:space="preserve">Enmet</t>
  </si>
  <si>
    <t xml:space="preserve">the wall-breaker; reason</t>
  </si>
  <si>
    <t xml:space="preserve">one cast removes the wall, turn 1</t>
  </si>
  <si>
    <t xml:space="preserve">terrain is destructible</t>
  </si>
  <si>
    <t xml:space="preserve">Warlock; the Tzitzimitl's Corrosion</t>
  </si>
  <si>
    <t xml:space="preserve">young, rain-soaked, unbothered, the most destructive thing on the continent; the modern doctrinal bans exist because of people like her</t>
  </si>
  <si>
    <t xml:space="preserve">pu_tasme</t>
  </si>
  <si>
    <t xml:space="preserve">Tasme</t>
  </si>
  <si>
    <t xml:space="preserve">chariot; lance</t>
  </si>
  <si>
    <t xml:space="preserve">absurd movement, cannot climb the terraces</t>
  </si>
  <si>
    <t xml:space="preserve">movement types and terrain cost</t>
  </si>
  <si>
    <t xml:space="preserve">the riding column</t>
  </si>
  <si>
    <t xml:space="preserve">shows the player what mobility buys and what it costs</t>
  </si>
  <si>
    <t xml:space="preserve">pu_bel_iddin</t>
  </si>
  <si>
    <t xml:space="preserve">Bel-Iddin</t>
  </si>
  <si>
    <t xml:space="preserve">shield-bearer; lance and shield</t>
  </si>
  <si>
    <t xml:space="preserve">holds the aqueduct span alone against everything</t>
  </si>
  <si>
    <t xml:space="preserve">chokepoints and the enemy phase</t>
  </si>
  <si>
    <t xml:space="preserve">General, Great shield</t>
  </si>
  <si>
    <t xml:space="preserve">the span is one tile wide; he simply does not move</t>
  </si>
  <si>
    <t xml:space="preserve">pu_sirru</t>
  </si>
  <si>
    <t xml:space="preserve">Sirru</t>
  </si>
  <si>
    <t xml:space="preserve">archer; bow</t>
  </si>
  <si>
    <t xml:space="preserve">kills across the water channels</t>
  </si>
  <si>
    <t xml:space="preserve">range, and impassable terrain</t>
  </si>
  <si>
    <t xml:space="preserve">Sniper, Pavisier</t>
  </si>
  <si>
    <t xml:space="preserve">the channels teach that water stops feet and not arrows</t>
  </si>
  <si>
    <t xml:space="preserve">pu_kadar</t>
  </si>
  <si>
    <t xml:space="preserve">Kadar</t>
  </si>
  <si>
    <t xml:space="preserve">one-rounds anything on the terraces</t>
  </si>
  <si>
    <t xml:space="preserve">the weapon triangle</t>
  </si>
  <si>
    <t xml:space="preserve">Warrior, Housecarl</t>
  </si>
  <si>
    <t xml:space="preserve">the highest damage against the statue, which is the point</t>
  </si>
  <si>
    <t xml:space="preserve">pu_ilat</t>
  </si>
  <si>
    <t xml:space="preserve">Ilat</t>
  </si>
  <si>
    <t xml:space="preserve">priestess; faith</t>
  </si>
  <si>
    <t xml:space="preserve">heals, and lifts the fatigue marker</t>
  </si>
  <si>
    <t xml:space="preserve">support actions</t>
  </si>
  <si>
    <t xml:space="preserve">Bishop; the Simurgh's role</t>
  </si>
  <si>
    <t xml:space="preserve">she can hit the statue too, badly, and the game does not stop her</t>
  </si>
  <si>
    <t xml:space="preserve">pu_nashar</t>
  </si>
  <si>
    <t xml:space="preserve">Nashar</t>
  </si>
  <si>
    <t xml:space="preserve">the scribe; non-combatant</t>
  </si>
  <si>
    <t xml:space="preserve">follows; cannot attack; must survive</t>
  </si>
  <si>
    <t xml:space="preserve">protect-the-unit, and the ending</t>
  </si>
  <si>
    <t xml:space="preserve">the surveyor, and the whole clerk thread</t>
  </si>
  <si>
    <t xml:space="preserve">the player spends the map vaguely protecting him without knowing why</t>
  </si>
  <si>
    <t xml:space="preserve">Eight ancestors, each a preview of a class the player will spend 30 chapters earning. Nobody here is recruitable and nobody here appears again. The roster is a PROMISE, and the campaign is the bill.</t>
  </si>
  <si>
    <t xml:space="preserve">structure_id</t>
  </si>
  <si>
    <t xml:space="preserve">turns_to_destroy</t>
  </si>
  <si>
    <t xml:space="preserve">defence</t>
  </si>
  <si>
    <t xml:space="preserve">retaliates</t>
  </si>
  <si>
    <t xml:space="preserve">requires_multiple_units</t>
  </si>
  <si>
    <t xml:space="preserve">behaviour</t>
  </si>
  <si>
    <t xml:space="preserve">what_it_argues</t>
  </si>
  <si>
    <t xml:space="preserve">str_wall</t>
  </si>
  <si>
    <t xml:space="preserve">The river wall</t>
  </si>
  <si>
    <t xml:space="preserve">Enmet removes it in one cast on turn 1; 40 tiles of masonry, a generation to build</t>
  </si>
  <si>
    <t xml:space="preserve">SPECTACLE: instant, and it takes one gifted person</t>
  </si>
  <si>
    <t xml:space="preserve">str_statue</t>
  </si>
  <si>
    <t xml:space="preserve">The patron's image</t>
  </si>
  <si>
    <t xml:space="preserve">no defence, no retaliation, cannot be one-shot by anyone; every unit must walk up and hit it</t>
  </si>
  <si>
    <t xml:space="preserve">EROSION: slow, communal, boring, and it needs everybody's hands on it</t>
  </si>
  <si>
    <t xml:space="preserve">The inversion IS the prologue. Military conquest is instant and spectacular. Cultural erasure is slow and takes the whole warband. No cutscene explains this; the numbers do. Do not let one unit finish the statue.</t>
  </si>
  <si>
    <t xml:space="preserve">The image is broken before the name is written, and the name is never shown. Order matters: you</t>
  </si>
  <si>
    <t xml:space="preserve">cannot write down a god that people can still see, and the player cannot be told what a god is</t>
  </si>
  <si>
    <t xml:space="preserve">called and still share the world's ignorance.</t>
  </si>
  <si>
    <t xml:space="preserve">scenario</t>
  </si>
  <si>
    <t xml:space="preserve">damage_per_turn</t>
  </si>
  <si>
    <t xml:space="preserve">statue_hp</t>
  </si>
  <si>
    <t xml:space="preserve">turns_required</t>
  </si>
  <si>
    <t xml:space="preserve">reading</t>
  </si>
  <si>
    <t xml:space="preserve">all seven combatants attacking every turn</t>
  </si>
  <si>
    <t xml:space="preserve">the intended pace</t>
  </si>
  <si>
    <t xml:space="preserve">without Kadar (the heaviest hitter)</t>
  </si>
  <si>
    <t xml:space="preserve">still finishes; nobody is mandatory</t>
  </si>
  <si>
    <t xml:space="preserve">Kadar alone</t>
  </si>
  <si>
    <t xml:space="preserve">far too slow -- the solo route is closed by arithmetic</t>
  </si>
  <si>
    <t xml:space="preserve">Sargath alone</t>
  </si>
  <si>
    <t xml:space="preserve">the king cannot do this by himself, which is the point</t>
  </si>
  <si>
    <t xml:space="preserve">Statue at 340 HP against 87 damage per turn from seven combatants gives 4 turns of the entire warband hitting an object that does not move. Tune statue_hp, not the unit damage -- the per-unit numbers are characterisation.</t>
  </si>
  <si>
    <t xml:space="preserve">STATUE ACCESS (from the tile grid): only 4 orthogonal tiles touch the image, so 7 combatants</t>
  </si>
  <si>
    <t xml:space="preserve">cannot all swing in the same turn -- the warband has to ROTATE through it. That stretches the</t>
  </si>
  <si>
    <t xml:space="preserve">arithmetic-4-turns into 5-6 turns of actual play, which is the intended feeling.</t>
  </si>
  <si>
    <t xml:space="preserve">Tasme cannot reach the temple terrace at all: chariots do not climb. She watches from the court.</t>
  </si>
  <si>
    <t xml:space="preserve">sign_id</t>
  </si>
  <si>
    <t xml:space="preserve">season</t>
  </si>
  <si>
    <t xml:space="preserve">element</t>
  </si>
  <si>
    <t xml:space="preserve">archetype</t>
  </si>
  <si>
    <t xml:space="preserve">virtue</t>
  </si>
  <si>
    <t xml:space="preserve">failure_mode</t>
  </si>
  <si>
    <t xml:space="preserve">calendar_note</t>
  </si>
  <si>
    <t xml:space="preserve">sgn_ram</t>
  </si>
  <si>
    <t xml:space="preserve">the Ram</t>
  </si>
  <si>
    <t xml:space="preserve">spring, first</t>
  </si>
  <si>
    <t xml:space="preserve">fire</t>
  </si>
  <si>
    <t xml:space="preserve">the one who goes first and does not look back</t>
  </si>
  <si>
    <t xml:space="preserve">decisive under pressure</t>
  </si>
  <si>
    <t xml:space="preserve">cannot sit still long enough to be told the plan</t>
  </si>
  <si>
    <t xml:space="preserve">the Diadem keeps the Venerated's feast here: born at the lambing, hence the title</t>
  </si>
  <si>
    <t xml:space="preserve">sgn_bull</t>
  </si>
  <si>
    <t xml:space="preserve">the Bull</t>
  </si>
  <si>
    <t xml:space="preserve">spring, second</t>
  </si>
  <si>
    <t xml:space="preserve">earth</t>
  </si>
  <si>
    <t xml:space="preserve">the one who will not be moved</t>
  </si>
  <si>
    <t xml:space="preserve">holds ground nobody else could</t>
  </si>
  <si>
    <t xml:space="preserve">mistakes stubbornness for principle</t>
  </si>
  <si>
    <t xml:space="preserve">sgn_twins</t>
  </si>
  <si>
    <t xml:space="preserve">the Twins</t>
  </si>
  <si>
    <t xml:space="preserve">spring, third</t>
  </si>
  <si>
    <t xml:space="preserve">air</t>
  </si>
  <si>
    <t xml:space="preserve">the one who argues both sides</t>
  </si>
  <si>
    <t xml:space="preserve">sees the case against their own position</t>
  </si>
  <si>
    <t xml:space="preserve">will not commit while a better argument exists</t>
  </si>
  <si>
    <t xml:space="preserve">sgn_crab</t>
  </si>
  <si>
    <t xml:space="preserve">the Crab</t>
  </si>
  <si>
    <t xml:space="preserve">summer, first</t>
  </si>
  <si>
    <t xml:space="preserve">water</t>
  </si>
  <si>
    <t xml:space="preserve">the one who guards the house</t>
  </si>
  <si>
    <t xml:space="preserve">loyal past reason</t>
  </si>
  <si>
    <t xml:space="preserve">the loyalty is to people, not to the cause, and it shows</t>
  </si>
  <si>
    <t xml:space="preserve">sgn_lion</t>
  </si>
  <si>
    <t xml:space="preserve">the Lion</t>
  </si>
  <si>
    <t xml:space="preserve">summer, second</t>
  </si>
  <si>
    <t xml:space="preserve">the one who must be seen</t>
  </si>
  <si>
    <t xml:space="preserve">leads from in front because being watched steadies them</t>
  </si>
  <si>
    <t xml:space="preserve">cannot take a demotion gracefully</t>
  </si>
  <si>
    <t xml:space="preserve">sgn_maiden</t>
  </si>
  <si>
    <t xml:space="preserve">the Maiden</t>
  </si>
  <si>
    <t xml:space="preserve">summer, third</t>
  </si>
  <si>
    <t xml:space="preserve">the one who keeps the record</t>
  </si>
  <si>
    <t xml:space="preserve">notices the discrepancy nobody else did</t>
  </si>
  <si>
    <t xml:space="preserve">corrects people who did not ask</t>
  </si>
  <si>
    <t xml:space="preserve">sgn_scales</t>
  </si>
  <si>
    <t xml:space="preserve">the Scales</t>
  </si>
  <si>
    <t xml:space="preserve">autumn, first</t>
  </si>
  <si>
    <t xml:space="preserve">the one who weighs</t>
  </si>
  <si>
    <t xml:space="preserve">the fairest arbiter in the room</t>
  </si>
  <si>
    <t xml:space="preserve">delay disguised as deliberation</t>
  </si>
  <si>
    <t xml:space="preserve">sgn_scorpion</t>
  </si>
  <si>
    <t xml:space="preserve">the Scorpion</t>
  </si>
  <si>
    <t xml:space="preserve">autumn, second</t>
  </si>
  <si>
    <t xml:space="preserve">the one who does not forget</t>
  </si>
  <si>
    <t xml:space="preserve">carries the grudge that keeps everyone honest</t>
  </si>
  <si>
    <t xml:space="preserve">carries it long after it stopped being useful</t>
  </si>
  <si>
    <t xml:space="preserve">sgn_archer</t>
  </si>
  <si>
    <t xml:space="preserve">the Archer</t>
  </si>
  <si>
    <t xml:space="preserve">autumn, third</t>
  </si>
  <si>
    <t xml:space="preserve">the one who goes further out</t>
  </si>
  <si>
    <t xml:space="preserve">the scout who comes back with the thing you needed</t>
  </si>
  <si>
    <t xml:space="preserve">says the true thing at the worst moment</t>
  </si>
  <si>
    <t xml:space="preserve">sgn_goat</t>
  </si>
  <si>
    <t xml:space="preserve">the Goat</t>
  </si>
  <si>
    <t xml:space="preserve">winter, first</t>
  </si>
  <si>
    <t xml:space="preserve">the one who climbs</t>
  </si>
  <si>
    <t xml:space="preserve">will do the unglamorous work for years</t>
  </si>
  <si>
    <t xml:space="preserve">measures people by what they have built</t>
  </si>
  <si>
    <t xml:space="preserve">sgn_vessel</t>
  </si>
  <si>
    <t xml:space="preserve">the Vessel</t>
  </si>
  <si>
    <t xml:space="preserve">winter, second</t>
  </si>
  <si>
    <t xml:space="preserve">the one who pours out</t>
  </si>
  <si>
    <t xml:space="preserve">gives away what they needed</t>
  </si>
  <si>
    <t xml:space="preserve">belongs to everyone and therefore to nobody</t>
  </si>
  <si>
    <t xml:space="preserve">sgn_fishes</t>
  </si>
  <si>
    <t xml:space="preserve">the Fishes</t>
  </si>
  <si>
    <t xml:space="preserve">winter, third</t>
  </si>
  <si>
    <t xml:space="preserve">the one who dissolves the boundary</t>
  </si>
  <si>
    <t xml:space="preserve">understands the enemy too well to hate them</t>
  </si>
  <si>
    <t xml:space="preserve">understands the enemy too well to fight them</t>
  </si>
  <si>
    <t xml:space="preserve">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</si>
  <si>
    <t xml:space="preserve">WORKED EXAMPLE -- Rinsa, the descender at the oracle. First pass assigned her the Fishes off</t>
  </si>
  <si>
    <t xml:space="preserve">'understands the enemy too well', which was wrong: dissolving the boundary means she would have</t>
  </si>
  <si>
    <t xml:space="preserve">gone native years ago. The Vessel is right -- detached from the thing she is inside of. She pours</t>
  </si>
  <si>
    <t xml:space="preserve">out for hundreds of strangers and belongs to none of them, and her refusal to say whether the</t>
  </si>
  <si>
    <t xml:space="preserve">oracle is real is INTELLECTUAL HONESTY, not mysticism: she has the data and will not over-claim</t>
  </si>
  <si>
    <t xml:space="preserve">from it. Voice follows: analytical, dry, faintly irritated by people certain in either direction.</t>
  </si>
  <si>
    <t xml:space="preserve">The lesson is that the sign has to be argued from behaviour, not picked off a keyword.</t>
  </si>
  <si>
    <t xml:space="preserve">claim</t>
  </si>
  <si>
    <t xml:space="preserve">detail</t>
  </si>
  <si>
    <t xml:space="preserve">The register is an astrological document</t>
  </si>
  <si>
    <t xml:space="preserve">The Goetic spirits are traditionally assigned to the decans -- the 36 ten-degree divisions of the zodiac, two spirits to each, 72 in all. So Sargath's list of bound patrons maps onto the sky. Nobody in the present designed this; they inherited it and argue about it.</t>
  </si>
  <si>
    <t xml:space="preserve">THE CALENDAR SCHISM</t>
  </si>
  <si>
    <t xml:space="preserve">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</si>
  <si>
    <t xml:space="preserve">The Diadem / court position</t>
  </si>
  <si>
    <t xml:space="preserve">the Ram, spring</t>
  </si>
  <si>
    <t xml:space="preserve">born at the lambing; the title follows from the season, not the other way round</t>
  </si>
  <si>
    <t xml:space="preserve">The Continuing Word</t>
  </si>
  <si>
    <t xml:space="preserve">the Vessel, winter</t>
  </si>
  <si>
    <t xml:space="preserve">the seer says so, and new scripture is still arriving, so the date can move</t>
  </si>
  <si>
    <t xml:space="preserve">The Unstained</t>
  </si>
  <si>
    <t xml:space="preserve">no feast is valid</t>
  </si>
  <si>
    <t xml:space="preserve">any calendar kept by complicit hands is void; they observe nothing until it is re-made clean</t>
  </si>
  <si>
    <t xml:space="preserve">The Company of the Road</t>
  </si>
  <si>
    <t xml:space="preserve">the Scales, autumn</t>
  </si>
  <si>
    <t xml:space="preserve">the reckoning season, when accounts are settled; convenient, and they know it</t>
  </si>
  <si>
    <t xml:space="preserve">The silent</t>
  </si>
  <si>
    <t xml:space="preserve">(refuse to say)</t>
  </si>
  <si>
    <t xml:space="preserve">they are the only ones who might know</t>
  </si>
  <si>
    <t xml:space="preserve">MECHANICAL FOOTPRINT -- keep it light</t>
  </si>
  <si>
    <t xml:space="preserve">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</si>
  <si>
    <t xml:space="preserve">One dispute, five answers, no resolution. Same shape as every other question in the game.</t>
  </si>
  <si>
    <t xml:space="preserve">OPEN THREAD: Kest's brother's decan token (see units tab) is inert through Acts 1-2 and becomes</t>
  </si>
  <si>
    <t xml:space="preserve">evidence in the calendar schism in Act 3. The specific beat -- what it proves, who contests it,</t>
  </si>
  <si>
    <t xml:space="preserve">how it pays off -- is NOT YET AUTHORED. Flagging here so the dependency is visible before Act 3</t>
  </si>
  <si>
    <t xml:space="preserve">chapters are drafted; a scene using this token must be checked against whatever gets decided.</t>
  </si>
  <si>
    <t xml:space="preserve">practice_id</t>
  </si>
  <si>
    <t xml:space="preserve">cadence</t>
  </si>
  <si>
    <t xml:space="preserve">cost</t>
  </si>
  <si>
    <t xml:space="preserve">what_happens</t>
  </si>
  <si>
    <t xml:space="preserve">what_it_claims</t>
  </si>
  <si>
    <t xml:space="preserve">prc_pilgrimage</t>
  </si>
  <si>
    <t xml:space="preserve">The Shoulder pilgrimage</t>
  </si>
  <si>
    <t xml:space="preserve">annual</t>
  </si>
  <si>
    <t xml:space="preserve">free</t>
  </si>
  <si>
    <t xml:space="preserve">walk the road up to the shoulder of the peak, keep vigil, come down</t>
  </si>
  <si>
    <t xml:space="preserve">THE ASCENT MUST BE PERMITTED, NEVER ATTEMPTED. Nobody summits. The peak is not a destination, and daring is the sin</t>
  </si>
  <si>
    <t xml:space="preserve">the one thing they believe is up there is the one place their own doctrine forbids them to reach; when somebody finally goes over the top it is a SCHISM, not an adventure</t>
  </si>
  <si>
    <t xml:space="preserve">prc_oracle</t>
  </si>
  <si>
    <t xml:space="preserve">The oracle of the dead</t>
  </si>
  <si>
    <t xml:space="preserve">continuous</t>
  </si>
  <si>
    <t xml:space="preserve">a fee, and a procedure</t>
  </si>
  <si>
    <t xml:space="preserve">a real building at the mouth of the high valley, staffed, with a waiting list; you fast, you are led down, you are permitted one question</t>
  </si>
  <si>
    <t xml:space="preserve">the dead are not resting, they are busy, and they can be reached at a price</t>
  </si>
  <si>
    <t xml:space="preserve">COMMERCIALISED RELIGION, played straight: people come from both states, including people who despise the sect, because their child died in the plague and they want to ask something. This -- not doctrine -- is how the Continuing Word gets its reach</t>
  </si>
  <si>
    <t xml:space="preserve">prc_sky_burial</t>
  </si>
  <si>
    <t xml:space="preserve">The high burial</t>
  </si>
  <si>
    <t xml:space="preserve">as needed</t>
  </si>
  <si>
    <t xml:space="preserve">the dead are left on a charnel terrace at altitude for the birds</t>
  </si>
  <si>
    <t xml:space="preserve">the body is a vessel; the soul has a post to get to and should not be delayed</t>
  </si>
  <si>
    <t xml:space="preserve">grimly practical above the treeline where the ground is frozen; also an unforgettable map</t>
  </si>
  <si>
    <t xml:space="preserve">prc_rebaptism</t>
  </si>
  <si>
    <t xml:space="preserve">Enrolment of the dead</t>
  </si>
  <si>
    <t xml:space="preserve">the plague dead are rebaptised by name, read off the parish lists</t>
  </si>
  <si>
    <t xml:space="preserve">nobody is enrolled without their name being spoken</t>
  </si>
  <si>
    <t xml:space="preserve">puts the prophets and the crown's clerks in the same archive, for opposite reasons</t>
  </si>
  <si>
    <t xml:space="preserve">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</si>
  <si>
    <t xml:space="preserve">point</t>
  </si>
  <si>
    <t xml:space="preserve">The Enlightened One comes from the Company of the Road</t>
  </si>
  <si>
    <t xml:space="preserve">CANON, decided 2026-08-19</t>
  </si>
  <si>
    <t xml:space="preserve">The only sect with a state behind it, an economy, and a distribution network the player personally built in Act 1.</t>
  </si>
  <si>
    <t xml:space="preserve">Why their doctrine and no other</t>
  </si>
  <si>
    <t xml:space="preserve">If grace is met in exchange, a god is something that can be OFFERED rather than awaited. He is not a prophet and not a purified vessel. He is a party to a transaction, and he arrives with terms.</t>
  </si>
  <si>
    <t xml:space="preserve">The horror is competence, and the competence is GENEROSITY</t>
  </si>
  <si>
    <t xml:space="preserve">He is not cunning. He is not sinister about money. He is generous, at scale, on terms, and the terms are fair. He can be negotiated with -- which is worse than being unable to negotiate, because the negotiation is winnable and taking the deal is the loss.</t>
  </si>
  <si>
    <t xml:space="preserve">He is the Company's virtue turned lethal, not a trait he happens to have</t>
  </si>
  <si>
    <t xml:space="preserve">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</si>
  <si>
    <t xml:space="preserve">The one thing he cannot buy</t>
  </si>
  <si>
    <t xml:space="preserve">The Unstained reject him on principle, because he has dealt with everyone. Purity is the only currency he does not hold, which keeps the other sects from becoming texture.</t>
  </si>
  <si>
    <t xml:space="preserve">Economics of the Idol</t>
  </si>
  <si>
    <t xml:space="preserve">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</si>
  <si>
    <t xml:space="preserve">The endgame fork (superseded prior draft)</t>
  </si>
  <si>
    <t xml:space="preserve">RESOLVED 8/21/26</t>
  </si>
  <si>
    <t xml:space="preserve">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</si>
  <si>
    <t xml:space="preserve">The last big authored decision, now made. Everything else about him -- name, history, whether he believes it -- is still open.</t>
  </si>
  <si>
    <t xml:space="preserve">gap</t>
  </si>
  <si>
    <t xml:space="preserve">note</t>
  </si>
  <si>
    <t xml:space="preserve">FILLED by Rinsa (Ash Ascetic line)</t>
  </si>
  <si>
    <t xml:space="preserve">the whole brawl column had nobody in it</t>
  </si>
  <si>
    <t xml:space="preserve">shadow tier</t>
  </si>
  <si>
    <t xml:space="preserve">FILLED by u_kest</t>
  </si>
  <si>
    <t xml:space="preserve">see units tab; recruited via heist, not battlefield</t>
  </si>
  <si>
    <t xml:space="preserve">RETIRED</t>
  </si>
  <si>
    <t xml:space="preserve">mounts are acquirable equipment (capture/inheritance/requisition), not a class trait -- any of the 18 can end up mounted. 'Thin riding' was a supply question the pact-and-mount system already answers, not a roster gap.</t>
  </si>
  <si>
    <t xml:space="preserve">roster size</t>
  </si>
  <si>
    <t xml:space="preserve">18 of 18</t>
  </si>
  <si>
    <t xml:space="preserve">support grid complete at 153 chains</t>
  </si>
  <si>
    <t xml:space="preserve">flag_id</t>
  </si>
  <si>
    <t xml:space="preserve">question</t>
  </si>
  <si>
    <t xml:space="preserve">allowed_values</t>
  </si>
  <si>
    <t xml:space="preserve">affects</t>
  </si>
  <si>
    <t xml:space="preserve">flag_deaths</t>
  </si>
  <si>
    <t xml:space="preserve">Which of the current 18 died, and how?</t>
  </si>
  <si>
    <t xml:space="preserve">per-unit: alive | died_ch&lt;N&gt;_by_&lt;killed_by_type&gt;</t>
  </si>
  <si>
    <t xml:space="preserve">epilogue generation (see epilogue_generation tab), absence-as-content, Act 3 epithet-ledger callbacks</t>
  </si>
  <si>
    <t xml:space="preserve">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</si>
  <si>
    <t xml:space="preserve">field</t>
  </si>
  <si>
    <t xml:space="preserve">type_or_source</t>
  </si>
  <si>
    <t xml:space="preserve">populated_per_death</t>
  </si>
  <si>
    <t xml:space="preserve">purpose</t>
  </si>
  <si>
    <t xml:space="preserve">FK -&gt; units</t>
  </si>
  <si>
    <t xml:space="preserve">which of the 18</t>
  </si>
  <si>
    <t xml:space="preserve">died_in_chapter_id</t>
  </si>
  <si>
    <t xml:space="preserve">FK -&gt; chapters</t>
  </si>
  <si>
    <t xml:space="preserve">for the location/context clause</t>
  </si>
  <si>
    <t xml:space="preserve">enum: polity | named_creature | defector | boss | unknown</t>
  </si>
  <si>
    <t xml:space="preserve">faction-level per request; individual credit only for a Named, a defector, or a named chapter boss</t>
  </si>
  <si>
    <t xml:space="preserve">killed_by_id</t>
  </si>
  <si>
    <t xml:space="preserve">FK, table depends on killed_by_type</t>
  </si>
  <si>
    <t xml:space="preserve">polities.polity_id / named.named_id / defections.defection_id / (boss ids TBD, chapter bosses are not yet formalised as their own entity) / null for unknown</t>
  </si>
  <si>
    <t xml:space="preserve">epithets_held</t>
  </si>
  <si>
    <t xml:space="preserve">pipe-delimited FK list -&gt; epithets</t>
  </si>
  <si>
    <t xml:space="preserve">epithets earned before death; drives the title clause</t>
  </si>
  <si>
    <t xml:space="preserve">weapon_carried</t>
  </si>
  <si>
    <t xml:space="preserve">free text, forge provenance-grammar name</t>
  </si>
  <si>
    <t xml:space="preserve">DEPENDENCY NOT YET BUILT: the forge naming grammar (blood-on-the-blade marks, reforging clears epithets) was designed across several chat sessions but never formalised into its own tab. This field assumes that tab exists; it does not yet</t>
  </si>
  <si>
    <t xml:space="preserve">weapon_fate</t>
  </si>
  <si>
    <t xml:space="preserve">enum: lost_to_enemy | retrieved | thrown_and_lost | with_the_body</t>
  </si>
  <si>
    <t xml:space="preserve">same three-way logic as Named-creature material and riderless mounts -- unclaimed battlefield objects are lost at map end</t>
  </si>
  <si>
    <t xml:space="preserve">support_status</t>
  </si>
  <si>
    <t xml:space="preserve">paired_with unit_id + tier, OR unpaired</t>
  </si>
  <si>
    <t xml:space="preserve">reads from the (not yet built) supports tab; drives the mourning clause</t>
  </si>
  <si>
    <t xml:space="preserve">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</si>
  <si>
    <t xml:space="preserve">forge_id</t>
  </si>
  <si>
    <t xml:space="preserve">location</t>
  </si>
  <si>
    <t xml:space="preserve">specialty</t>
  </si>
  <si>
    <t xml:space="preserve">smith_notes</t>
  </si>
  <si>
    <t xml:space="preserve">cycle_length</t>
  </si>
  <si>
    <t xml:space="preserve">access_logic</t>
  </si>
  <si>
    <t xml:space="preserve">frg_standard_a</t>
  </si>
  <si>
    <t xml:space="preserve">the Diadem's forge orders</t>
  </si>
  <si>
    <t xml:space="preserve">standard</t>
  </si>
  <si>
    <t xml:space="preserve">1 chapter</t>
  </si>
  <si>
    <t xml:space="preserve">requisition tier only (1/2/3 open orders at tier 1/2/3)</t>
  </si>
  <si>
    <t xml:space="preserve">the ordinary spine sidequest; no master required</t>
  </si>
  <si>
    <t xml:space="preserve">frg_standard_b</t>
  </si>
  <si>
    <t xml:space="preserve">the Assembly's forge orders</t>
  </si>
  <si>
    <t xml:space="preserve">frg_kaisareia</t>
  </si>
  <si>
    <t xml:space="preserve">the edged master</t>
  </si>
  <si>
    <t xml:space="preserve">master</t>
  </si>
  <si>
    <t xml:space="preserve">edged</t>
  </si>
  <si>
    <t xml:space="preserve">her own technique is inherited, a lineage carried from further east generations ago and never native to the capital -- the same story as its library</t>
  </si>
  <si>
    <t xml:space="preserve">2 chapters</t>
  </si>
  <si>
    <t xml:space="preserve">STATE LEGITIMACY: requisition tier alone, no road to hold or favour to earn. The crown decides whether you're permitted a blade of the highest order and nothing else enters into it</t>
  </si>
  <si>
    <t xml:space="preserve">the baseline master, always reachable if the crown is willing</t>
  </si>
  <si>
    <t xml:space="preserve">frg_vashti</t>
  </si>
  <si>
    <t xml:space="preserve">the hafted master</t>
  </si>
  <si>
    <t xml:space="preserve">hafted</t>
  </si>
  <si>
    <t xml:space="preserve">her family has worked that forge for longer than the current occupation and treats the war as weather</t>
  </si>
  <si>
    <t xml:space="preserve">MILITARY CONTROL: requires holding the Vashti road, tied directly to Column A's actual chapters rather than a flat unlock -- access can be LOST mid-run if the road is lost</t>
  </si>
  <si>
    <t xml:space="preserve">arms lances and axes: the common soldier's tools, not the officer's. Fitting that the hardest-won master smith makes the plainest weapons</t>
  </si>
  <si>
    <t xml:space="preserve">frg_herd</t>
  </si>
  <si>
    <t xml:space="preserve">the missile master</t>
  </si>
  <si>
    <t xml:space="preserve">missile</t>
  </si>
  <si>
    <t xml:space="preserve">answers to no crown and holds no seat; the Herd Clans have no city to besiege and nothing to seize</t>
  </si>
  <si>
    <t xml:space="preserve">DIPLOMATIC STANDING: cannot be conquered or purchased, only granted passage -- the one master no amount of requisition tier or occupied ground can buy</t>
  </si>
  <si>
    <t xml:space="preserve">the master smith outside the state's reach entirely, which is the point</t>
  </si>
  <si>
    <t xml:space="preserve">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</si>
  <si>
    <t xml:space="preserve">material_id</t>
  </si>
  <si>
    <t xml:space="preserve">drop</t>
  </si>
  <si>
    <t xml:space="preserve">specialty_required</t>
  </si>
  <si>
    <t xml:space="preserve">resulting_weapon</t>
  </si>
  <si>
    <t xml:space="preserve">mat_simurgh</t>
  </si>
  <si>
    <t xml:space="preserve">a blade that heals its wielder's allies on contact rather than the wielder</t>
  </si>
  <si>
    <t xml:space="preserve">mat_karkadann</t>
  </si>
  <si>
    <t xml:space="preserve">the horn</t>
  </si>
  <si>
    <t xml:space="preserve">the Karkadann-horned lance: strong vs. mounted units, nothing special vs. infantry</t>
  </si>
  <si>
    <t xml:space="preserve">mat_anzu</t>
  </si>
  <si>
    <t xml:space="preserve">torn pinions</t>
  </si>
  <si>
    <t xml:space="preserve">an edge that unmakes weapons on contact, from something that already unmakes weapons</t>
  </si>
  <si>
    <t xml:space="preserve">mat_shadhavar</t>
  </si>
  <si>
    <t xml:space="preserve">a hollow horn</t>
  </si>
  <si>
    <t xml:space="preserve">a bow that hums and drags the nearest enemy a tile closer -- can't be turned off</t>
  </si>
  <si>
    <t xml:space="preserve">mat_huma</t>
  </si>
  <si>
    <t xml:space="preserve">(cannot be harvested)</t>
  </si>
  <si>
    <t xml:space="preserve">the Huma cannot be captured or harvested at all -- see the kill-taboo. No weapon exists from it, on purpose: the one Named with no forge payoff, because it was never a mount to begin with</t>
  </si>
  <si>
    <t xml:space="preserve">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</si>
  <si>
    <t xml:space="preserve">primary_analog</t>
  </si>
  <si>
    <t xml:space="preserve">period</t>
  </si>
  <si>
    <t xml:space="preserve">doctrinal_anchor</t>
  </si>
  <si>
    <t xml:space="preserve">historical_anchor</t>
  </si>
  <si>
    <t xml:space="preserve">key_terms</t>
  </si>
  <si>
    <t xml:space="preserve">caution</t>
  </si>
  <si>
    <t xml:space="preserve">Donatism</t>
  </si>
  <si>
    <t xml:space="preserve">early 4th c., Roman North Africa</t>
  </si>
  <si>
    <t xml:space="preserve">sacramental validity depends on the minister's own moral state -- a priest who handed over scripture under persecution (a traditor) cannot validly perform sacraments afterward; rebaptism and reconsecration are required</t>
  </si>
  <si>
    <t xml:space="preserve">arose among communities whose clergy split under the Diocletianic persecution (303-305 AD) -- some martyred, some capitulated -- and the controversy over the survivors' authority outlived the persecution by a century</t>
  </si>
  <si>
    <t xml:space="preserve">traditor (one who handed over); rebaptism; purity of the minister</t>
  </si>
  <si>
    <t xml:space="preserve">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</si>
  <si>
    <t xml:space="preserve">Montanism (doctrine) + Latter Day Saint restorationism (cosmology)</t>
  </si>
  <si>
    <t xml:space="preserve">Montanism: mid-late 2nd c. Phrygia. LDS content: 19th c.</t>
  </si>
  <si>
    <t xml:space="preserve">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</si>
  <si>
    <t xml:space="preserve">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</si>
  <si>
    <t xml:space="preserve">New Prophecy; the Paraclete; ecstatic utterance; restoration; a living seer</t>
  </si>
  <si>
    <t xml:space="preserve">DELIBERATE COMPRESSION, not an error: this sect's cosmology is centuries later than its doctrinal bones and later than every other sect's anchor. Worth being honest about that in the writers' room rather than presenting it as period-accurate</t>
  </si>
  <si>
    <t xml:space="preserve">Pauline soteriology (doctrine) + the Church of the East (structure)</t>
  </si>
  <si>
    <t xml:space="preserve">Paul: 1st c. Church of the East's Silk Road reach: 7th-9th c. onward</t>
  </si>
  <si>
    <t xml:space="preserve">Paul's Greek for redemption is commercial, not merely poetic: exagorazo (buy out of the marketplace), apolytrosis (a ransom price) -- 'you were bought with a price,' stated plainly, twice, in 1 Corinthians. The Company took the metaphor literally</t>
  </si>
  <si>
    <t xml:space="preserve">the Church of the East spread from Persia along the Silk Road into Central Asia, India, and as far as China almost entirely through merchant and monastic networks, with no empire ever behind it -- the Nestorian Stele at Xi'an (781 AD) records exactly that reach</t>
  </si>
  <si>
    <t xml:space="preserve">redemption as ransom; exagorazo; the Church of the East; Silk Road Christianity</t>
  </si>
  <si>
    <t xml:space="preserve">this pairing is also the best protection on the antisemitism guardrails worked out earlier: the Church of the East was a confession people converted INTO by trade and persuasion, not an ethnicity, which reinforces rather than undercuts those guardrails</t>
  </si>
  <si>
    <t xml:space="preserve">Arianism</t>
  </si>
  <si>
    <t xml:space="preserve">4th c., Alexandria / Nicaea / Constantinople</t>
  </si>
  <si>
    <t xml:space="preserve">Arius held Christ was created by the Father and therefore not co-eternal with him -- 'there was a time when he was not' -- condemned at Nicaea in 325, whose creed's 'begotten, not made' line exists specifically to refute him</t>
  </si>
  <si>
    <t xml:space="preserve">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</si>
  <si>
    <t xml:space="preserve">'there was a time when he was not'; homoousios (the word Arianism rejected); Ulfilas</t>
  </si>
  <si>
    <t xml:space="preserve">none major -- this is the cleanest parallel in the set and is already well used</t>
  </si>
  <si>
    <t xml:space="preserve">apophatic (negative) theology + the Desert Fathers and Mothers</t>
  </si>
  <si>
    <t xml:space="preserve">Pseudo-Dionysius: late 5th/early 6th c. Desert Fathers: 3rd-5th c. Egypt/Syria</t>
  </si>
  <si>
    <t xml:space="preserve">Pseudo-Dionysius the Areopagite held God exceeds every positive statement -- you can only say what God is NOT, since any positive claim inevitably diminishes the infinite. Under this view, silence is not evasion, it is the theologically correct answer</t>
  </si>
  <si>
    <t xml:space="preserve">the Desert Fathers actually lived this: the Sayings of the Desert Fathers record monks answering doctrinal questions with silence, a parable, or a redirection, precisely because they had withdrawn from the church politics of their day</t>
  </si>
  <si>
    <t xml:space="preserve">apophatic / negative theology; Pseudo-Dionysius; the Sayings of the Desert Fathers</t>
  </si>
  <si>
    <t xml:space="preserve">none major</t>
  </si>
  <si>
    <t xml:space="preserve">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</si>
  <si>
    <t xml:space="preserve">signal_id</t>
  </si>
  <si>
    <t xml:space="preserve">category</t>
  </si>
  <si>
    <t xml:space="preserve">what_it_reads</t>
  </si>
  <si>
    <t xml:space="preserve">sig_dispersal_ratio</t>
  </si>
  <si>
    <t xml:space="preserve">combat</t>
  </si>
  <si>
    <t xml:space="preserve">dispersal-vs-kill ratio across the run (already tracked via epithets ep_dispersal / ep_bosskill etc.)</t>
  </si>
  <si>
    <t xml:space="preserve">candidate -- not locked</t>
  </si>
  <si>
    <t xml:space="preserve">sig_unstained_respected</t>
  </si>
  <si>
    <t xml:space="preserve">sect</t>
  </si>
  <si>
    <t xml:space="preserve">whether the Unstained's refusal of him was honored or steamrolled in how their chapters/paralogue resolved</t>
  </si>
  <si>
    <t xml:space="preserve">sig_kest_restitution</t>
  </si>
  <si>
    <t xml:space="preserve">unit-specific</t>
  </si>
  <si>
    <t xml:space="preserve">how Kest's arc closes -- whether the decan token thread resolves as restitution or as one more extraction</t>
  </si>
  <si>
    <t xml:space="preserve">sig_forge_use</t>
  </si>
  <si>
    <t xml:space="preserve">economy</t>
  </si>
  <si>
    <t xml:space="preserve">whether master-smith and forge access was used to help recruits/allies or to extract from them (ties to the 3-of-5 material cap decisions)</t>
  </si>
  <si>
    <t xml:space="preserve">sig_defection_handling</t>
  </si>
  <si>
    <t xml:space="preserve">how Maren's conditional defection was handled -- recovered through genuine amends vs. left, or worse, exploited</t>
  </si>
  <si>
    <t xml:space="preserve">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</si>
  <si>
    <t xml:space="preserve">ending_id</t>
  </si>
  <si>
    <t xml:space="preserve">resolution_and_aftermath</t>
  </si>
  <si>
    <t xml:space="preserve">end_hierophant</t>
  </si>
  <si>
    <t xml:space="preserve">route_hierophant</t>
  </si>
  <si>
    <t xml:space="preserve">The Hierophant's capture (shared lead-up, not terminal)</t>
  </si>
  <si>
    <t xml:space="preserve">sect_id: TBD (whichever sect internally consolidates in Act 2)</t>
  </si>
  <si>
    <t xml:space="preserve">the movement forces one answer onto a five-way argument the game has kept deliberately plural; the defense scenario is a literal conquest -- march, forced conversion, crusade logic, not economic absorption</t>
  </si>
  <si>
    <t xml:space="preserve">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</si>
  <si>
    <t xml:space="preserve">end_sanctified</t>
  </si>
  <si>
    <t xml:space="preserve">route_enlightened_one, GOOD branch</t>
  </si>
  <si>
    <t xml:space="preserve">Sanctification</t>
  </si>
  <si>
    <t xml:space="preserve">hidden telemetry threshold -- see ascension_signals tab</t>
  </si>
  <si>
    <t xml:space="preserve">his ascension succeeds honestly: the debts that built his power were genuinely offered, not extracted. He becomes what his own doctrine claims to be -- grace as credit discharged by another, made literal and singular</t>
  </si>
  <si>
    <t xml:space="preserve">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</si>
  <si>
    <t xml:space="preserve">end_perverse</t>
  </si>
  <si>
    <t xml:space="preserve">route_enlightened_one, BAD branch</t>
  </si>
  <si>
    <t xml:space="preserve">The perverse god</t>
  </si>
  <si>
    <t xml:space="preserve">hidden telemetry threshold NOT met -- see ascension_signals tab</t>
  </si>
  <si>
    <t xml:space="preserve">his ascension is corrupted: the debts that built his power were extracted from people with no real choice. What emerges is monotheism-as-conquest rather than monotheism-as-grace</t>
  </si>
  <si>
    <t xml:space="preserve">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</si>
  <si>
    <t xml:space="preserve">end_hierophant_mercy</t>
  </si>
  <si>
    <t xml:space="preserve">route_hierophant, MERCY branch</t>
  </si>
  <si>
    <t xml:space="preserve">Subterfuge</t>
  </si>
  <si>
    <t xml:space="preserve">player chooses mercy at the Kaisareia trial</t>
  </si>
  <si>
    <t xml:space="preserve">sparing him doesn't neutralise him -- it leaves a devoted core with no clean loss to mourn and a prophet (Methodios) who cannot accept a humiliating public capitulation as final</t>
  </si>
  <si>
    <t xml:space="preserve">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</si>
  <si>
    <t xml:space="preserve">end_hierophant_execution</t>
  </si>
  <si>
    <t xml:space="preserve">route_hierophant, EXECUTION branch</t>
  </si>
  <si>
    <t xml:space="preserve">The war</t>
  </si>
  <si>
    <t xml:space="preserve">player chooses execution at the Kaisareia trial</t>
  </si>
  <si>
    <t xml:space="preserve">there is no ambiguity left for Methodios to manage quietly -- a killing reads as betrayal even without a literal broken promise, because the trial itself performed impartiality the outcome then violated</t>
  </si>
  <si>
    <t xml:space="preserve">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</si>
  <si>
    <t xml:space="preserve">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</si>
  <si>
    <t xml:space="preserve">ref_id</t>
  </si>
  <si>
    <t xml:space="preserve">figure_or_term</t>
  </si>
  <si>
    <t xml:space="preserve">the_hook</t>
  </si>
  <si>
    <t xml:space="preserve">fit</t>
  </si>
  <si>
    <t xml:space="preserve">ref_kopronymos</t>
  </si>
  <si>
    <t xml:space="preserve">Constantine V "Kopronymos"</t>
  </si>
  <si>
    <t xml:space="preserve">Byzantine imperial, 8th c.</t>
  </si>
  <si>
    <t xml:space="preserve">an iconoclast emperor whose opponents gave him a scatological insult-epithet ('the Dung-Named') that permanently outlived his own chosen name in the historical record</t>
  </si>
  <si>
    <t xml:space="preserve">assigned</t>
  </si>
  <si>
    <t xml:space="preserve">proof-of-concept for the three-name rule -- an enemy's insult can outlast a person's own title</t>
  </si>
  <si>
    <t xml:space="preserve">ref_rhinotmetos</t>
  </si>
  <si>
    <t xml:space="preserve">Justinian II "Rhinotmetos"</t>
  </si>
  <si>
    <t xml:space="preserve">Byzantine imperial, 7th-8th c.</t>
  </si>
  <si>
    <t xml:space="preserve">deposed, nose slit (disfigurement was believed to disqualify a claimant from the throne), exiled -- then reconquered the throne years later anyway, reportedly with a gold prosthetic nose</t>
  </si>
  <si>
    <t xml:space="preserve">open</t>
  </si>
  <si>
    <t xml:space="preserve">an unclaimed origin for a Jagen or a returning legend, stranger than fiction</t>
  </si>
  <si>
    <t xml:space="preserve">ref_photios</t>
  </si>
  <si>
    <t xml:space="preserve">Photios</t>
  </si>
  <si>
    <t xml:space="preserve">Byzantine patriarch, 9th c.</t>
  </si>
  <si>
    <t xml:space="preserve">author of the Bibliotheca, a catalog of hundreds of ancient books, many surviving today ONLY because he summarised them before the originals were lost</t>
  </si>
  <si>
    <t xml:space="preserve">best fit found for the literacy thread -- Emmerich's requisitions-clerk role or whatever academy trained Ricberta</t>
  </si>
  <si>
    <t xml:space="preserve">ref_john_damascus</t>
  </si>
  <si>
    <t xml:space="preserve">John of Damascus</t>
  </si>
  <si>
    <t xml:space="preserve">theologian, 8th c.</t>
  </si>
  <si>
    <t xml:space="preserve">wrote the major defence of icon veneration during Byzantine iconoclasm specifically because he lived under Islamic rule, outside the persecuting emperor's reach -- could say what a state-bound cleric couldn't</t>
  </si>
  <si>
    <t xml:space="preserve">the Company of the Road's structural theological freedom, already lived once</t>
  </si>
  <si>
    <t xml:space="preserve">ref_zal</t>
  </si>
  <si>
    <t xml:space="preserve">Zal</t>
  </si>
  <si>
    <t xml:space="preserve">Shahnameh, Persian epic</t>
  </si>
  <si>
    <t xml:space="preserve">the abandoned child the Simurgh raised and taught -- the exact myth the Simurgh pact already runs on</t>
  </si>
  <si>
    <t xml:space="preserve">deliberately left open</t>
  </si>
  <si>
    <t xml:space="preserve">too good to retrofit onto an existing unit; sitting for a future paralogue NPC or new unit slot, not bolted onto Rinsa or anyone whose arc wasn't written around being fostered</t>
  </si>
  <si>
    <t xml:space="preserve">ref_anna_komnene</t>
  </si>
  <si>
    <t xml:space="preserve">Anna Komnene</t>
  </si>
  <si>
    <t xml:space="preserve">Byzantine princess-historian, 12th c.</t>
  </si>
  <si>
    <t xml:space="preserve">wrote the Alexiad about her father's reign, one of history's first women historians</t>
  </si>
  <si>
    <t xml:space="preserve">a unit or NPC built around fighting to be the one holding the pen -- near-free thematic weight given how much of this game is about who controls the record</t>
  </si>
  <si>
    <t xml:space="preserve">ref_bogomils</t>
  </si>
  <si>
    <t xml:space="preserve">the Bogomils</t>
  </si>
  <si>
    <t xml:space="preserve">Balkan dualist heresy, 10th c. onward</t>
  </si>
  <si>
    <t xml:space="preserve">real theological content, rejected the material church and its sacraments outright</t>
  </si>
  <si>
    <t xml:space="preserve">UNFINISHED BUSINESS -- flagged as a candidate 5th/6th sect during the pivot and never followed up</t>
  </si>
  <si>
    <t xml:space="preserve">a sixth theological voice, if five readings of the absence isn't already enough</t>
  </si>
  <si>
    <t xml:space="preserve">ref_samuil</t>
  </si>
  <si>
    <t xml:space="preserve">Tsar Samuil</t>
  </si>
  <si>
    <t xml:space="preserve">Bulgarian Empire, 10th-11th c.</t>
  </si>
  <si>
    <t xml:space="preserve">Basil II blinded 15,000 captured soldiers and sent them home in cohorts of 99, each led by one sighted man -- Samuil reportedly collapsed and died at the sight of their return</t>
  </si>
  <si>
    <t xml:space="preserve">the darkest available image on this list -- a paralogue could be built entirely around a wound this ugly, if the tone calls for it</t>
  </si>
  <si>
    <t xml:space="preserve">ref_methodios</t>
  </si>
  <si>
    <t xml:space="preserve">Methodios (Cyril and Methodios)</t>
  </si>
  <si>
    <t xml:space="preserve">missionary brothers, 9th c.</t>
  </si>
  <si>
    <t xml:space="preserve">invented a script specifically to translate scripture for people who'd never had access to it in their own tongue</t>
  </si>
  <si>
    <t xml:space="preserve">ASSIGNED 8/21/26</t>
  </si>
  <si>
    <t xml:space="preserve">npc_methodios, the Hierophant's herald -- translating a claimant's volatility into a doctrine other people can hold is the same function one degree removed</t>
  </si>
  <si>
    <t xml:space="preserve">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</si>
</sst>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0"/>
      <color rgb="FFFFFFFF"/>
      <name val="Arial"/>
      <family val="0"/>
      <charset val="1"/>
    </font>
    <font>
      <i val="true"/>
      <sz val="9"/>
      <color rgb="FF595959"/>
      <name val="Arial"/>
      <family val="0"/>
      <charset val="1"/>
    </font>
    <font>
      <sz val="10"/>
      <color rgb="FF0000FF"/>
      <name val="Arial"/>
      <family val="0"/>
      <charset val="1"/>
    </font>
    <font>
      <b val="true"/>
      <sz val="10"/>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9"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8"/>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3" t="s">
        <v>1</v>
      </c>
    </row>
    <row r="4" customFormat="false" ht="1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15" hidden="false" customHeight="true" outlineLevel="0" collapsed="false">
      <c r="A7" s="3" t="s">
        <v>4</v>
      </c>
    </row>
    <row r="8" customFormat="false" ht="15" hidden="false" customHeight="true" outlineLevel="0" collapsed="false">
      <c r="A8" s="3" t="s">
        <v>5</v>
      </c>
    </row>
    <row r="9" customFormat="false" ht="15" hidden="false" customHeight="true" outlineLevel="0" collapsed="false">
      <c r="A9" s="3" t="s">
        <v>6</v>
      </c>
    </row>
    <row r="10" customFormat="false" ht="1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row>
    <row r="13" customFormat="false" ht="15" hidden="false" customHeight="true" outlineLevel="0" collapsed="false">
      <c r="A13" s="2" t="s">
        <v>9</v>
      </c>
    </row>
    <row r="14" customFormat="false" ht="15" hidden="false" customHeight="true" outlineLevel="0" collapsed="false">
      <c r="A14" s="3"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row>
    <row r="18" customFormat="false" ht="15" hidden="false" customHeight="true" outlineLevel="0" collapsed="false">
      <c r="A18" s="2" t="s">
        <v>13</v>
      </c>
    </row>
    <row r="19" customFormat="false" ht="15" hidden="false" customHeight="true" outlineLevel="0" collapsed="false">
      <c r="A19" s="3" t="s">
        <v>14</v>
      </c>
    </row>
    <row r="20" customFormat="false" ht="15" hidden="false" customHeight="true" outlineLevel="0" collapsed="false">
      <c r="A20" s="3" t="s">
        <v>15</v>
      </c>
    </row>
    <row r="21" customFormat="false" ht="15" hidden="false" customHeight="true" outlineLevel="0" collapsed="false">
      <c r="A21" s="3" t="s">
        <v>16</v>
      </c>
    </row>
    <row r="22" customFormat="false" ht="1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row>
    <row r="25" customFormat="false" ht="15" hidden="false" customHeight="true" outlineLevel="0" collapsed="false">
      <c r="A25" s="2" t="s">
        <v>19</v>
      </c>
    </row>
    <row r="26" customFormat="false" ht="15" hidden="false" customHeight="true" outlineLevel="0" collapsed="false">
      <c r="A26" s="3" t="s">
        <v>20</v>
      </c>
    </row>
    <row r="27" customFormat="false" ht="1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3" t="s">
        <v>22</v>
      </c>
    </row>
    <row r="30" customFormat="false" ht="15" hidden="false" customHeight="true" outlineLevel="0" collapsed="false">
      <c r="A30" s="3" t="s">
        <v>23</v>
      </c>
    </row>
    <row r="31" customFormat="false" ht="15" hidden="false" customHeight="true" outlineLevel="0" collapsed="false">
      <c r="A31" s="3" t="s">
        <v>24</v>
      </c>
    </row>
    <row r="33" customFormat="false" ht="15" hidden="false" customHeight="true" outlineLevel="0" collapsed="false">
      <c r="A33" s="2" t="s">
        <v>25</v>
      </c>
    </row>
    <row r="34" customFormat="false" ht="15" hidden="false" customHeight="true" outlineLevel="0" collapsed="false">
      <c r="A34" s="3" t="s">
        <v>26</v>
      </c>
    </row>
    <row r="35" customFormat="false" ht="15" hidden="false" customHeight="true" outlineLevel="0" collapsed="false">
      <c r="A35" s="3" t="s">
        <v>27</v>
      </c>
    </row>
    <row r="36" customFormat="false" ht="15" hidden="false" customHeight="true" outlineLevel="0" collapsed="false">
      <c r="A36" s="3" t="s">
        <v>28</v>
      </c>
    </row>
    <row r="37" customFormat="false" ht="15" hidden="false" customHeight="true" outlineLevel="0" collapsed="false">
      <c r="A37" s="3" t="s">
        <v>29</v>
      </c>
    </row>
    <row r="38" customFormat="false" ht="15" hidden="false" customHeight="true" outlineLevel="0" collapsed="false">
      <c r="A38" s="3"/>
    </row>
    <row r="39" customFormat="false" ht="15" hidden="false" customHeight="true" outlineLevel="0" collapsed="false">
      <c r="A39" s="2" t="s">
        <v>30</v>
      </c>
    </row>
    <row r="40" customFormat="false" ht="15" hidden="false" customHeight="true" outlineLevel="0" collapsed="false">
      <c r="A40" s="3" t="s">
        <v>31</v>
      </c>
    </row>
    <row r="41" customFormat="false" ht="15" hidden="false" customHeight="true" outlineLevel="0" collapsed="false">
      <c r="A41" s="3" t="s">
        <v>32</v>
      </c>
    </row>
    <row r="42" customFormat="false" ht="15" hidden="false" customHeight="true" outlineLevel="0" collapsed="false">
      <c r="A42" s="3" t="s">
        <v>33</v>
      </c>
    </row>
    <row r="43" customFormat="false" ht="15" hidden="false" customHeight="true" outlineLevel="0" collapsed="false">
      <c r="A43" s="3"/>
    </row>
    <row r="44" customFormat="false" ht="15" hidden="false" customHeight="true" outlineLevel="0" collapsed="false">
      <c r="A44" s="2" t="s">
        <v>34</v>
      </c>
    </row>
    <row r="45" customFormat="false" ht="15" hidden="false" customHeight="true" outlineLevel="0" collapsed="false">
      <c r="A45" s="3" t="s">
        <v>35</v>
      </c>
    </row>
    <row r="46" customFormat="false" ht="15" hidden="false" customHeight="true" outlineLevel="0" collapsed="false">
      <c r="A46" s="3" t="s">
        <v>36</v>
      </c>
    </row>
    <row r="48" customFormat="false" ht="15" hidden="false" customHeight="true" outlineLevel="0" collapsed="false">
      <c r="A48" s="2" t="s">
        <v>37</v>
      </c>
    </row>
    <row r="49" customFormat="false" ht="15" hidden="false" customHeight="true" outlineLevel="0" collapsed="false">
      <c r="A49" s="3" t="s">
        <v>38</v>
      </c>
    </row>
    <row r="50" customFormat="false" ht="15" hidden="false" customHeight="true" outlineLevel="0" collapsed="false">
      <c r="A50" s="3" t="s">
        <v>39</v>
      </c>
    </row>
    <row r="51" customFormat="false" ht="15" hidden="false" customHeight="true" outlineLevel="0" collapsed="false">
      <c r="A51" s="3" t="s">
        <v>40</v>
      </c>
    </row>
    <row r="52" customFormat="false" ht="15" hidden="false" customHeight="true" outlineLevel="0" collapsed="false">
      <c r="A52" s="3" t="s">
        <v>41</v>
      </c>
    </row>
    <row r="53" customFormat="false" ht="15" hidden="false" customHeight="true" outlineLevel="0" collapsed="false">
      <c r="A53" s="3" t="s">
        <v>42</v>
      </c>
    </row>
    <row r="54" customFormat="false" ht="15" hidden="false" customHeight="true" outlineLevel="0" collapsed="false">
      <c r="A54" s="3" t="s">
        <v>43</v>
      </c>
    </row>
    <row r="55" customFormat="false" ht="15" hidden="false" customHeight="true" outlineLevel="0" collapsed="false">
      <c r="A55" s="3" t="s">
        <v>44</v>
      </c>
    </row>
    <row r="56" customFormat="false" ht="15" hidden="false" customHeight="true" outlineLevel="0" collapsed="false">
      <c r="A56" s="3" t="s">
        <v>45</v>
      </c>
    </row>
    <row r="57" customFormat="false" ht="15" hidden="false" customHeight="true" outlineLevel="0" collapsed="false">
      <c r="A57" s="3"/>
    </row>
    <row r="58" customFormat="false" ht="15" hidden="false" customHeight="true" outlineLevel="0" collapsed="false">
      <c r="A58" s="3" t="s">
        <v>46</v>
      </c>
    </row>
    <row r="59" customFormat="false" ht="15" hidden="false" customHeight="true" outlineLevel="0" collapsed="false">
      <c r="A59" s="3"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1" min="1" style="1" width="14"/>
    <col collapsed="false" customWidth="true" hidden="false" outlineLevel="0" max="13" min="12" style="1" width="16"/>
    <col collapsed="false" customWidth="true" hidden="false" outlineLevel="0" max="14" min="14" style="1" width="20"/>
    <col collapsed="false" customWidth="true" hidden="false" outlineLevel="0" max="16" min="15" style="0" width="16"/>
  </cols>
  <sheetData>
    <row r="1" customFormat="false" ht="30" hidden="false" customHeight="true" outlineLevel="0" collapsed="false">
      <c r="A1" s="4" t="s">
        <v>48</v>
      </c>
      <c r="B1" s="4" t="s">
        <v>49</v>
      </c>
      <c r="C1" s="4" t="s">
        <v>50</v>
      </c>
      <c r="D1" s="4" t="s">
        <v>51</v>
      </c>
      <c r="E1" s="4" t="s">
        <v>52</v>
      </c>
      <c r="F1" s="4" t="s">
        <v>53</v>
      </c>
      <c r="G1" s="4" t="s">
        <v>54</v>
      </c>
      <c r="H1" s="4" t="s">
        <v>55</v>
      </c>
      <c r="I1" s="4" t="s">
        <v>56</v>
      </c>
      <c r="J1" s="4" t="s">
        <v>57</v>
      </c>
      <c r="K1" s="4" t="s">
        <v>58</v>
      </c>
      <c r="L1" s="5" t="s">
        <v>59</v>
      </c>
      <c r="M1" s="5" t="s">
        <v>60</v>
      </c>
      <c r="N1" s="5" t="s">
        <v>61</v>
      </c>
      <c r="O1" s="6" t="s">
        <v>62</v>
      </c>
      <c r="P1" s="6" t="s">
        <v>62</v>
      </c>
    </row>
    <row r="2" customFormat="false" ht="15" hidden="false" customHeight="true" outlineLevel="0" collapsed="false">
      <c r="A2" s="7" t="s">
        <v>63</v>
      </c>
      <c r="B2" s="7" t="s">
        <v>64</v>
      </c>
      <c r="C2" s="7" t="s">
        <v>65</v>
      </c>
      <c r="D2" s="7" t="s">
        <v>66</v>
      </c>
      <c r="E2" s="7" t="s">
        <v>67</v>
      </c>
      <c r="F2" s="7" t="s">
        <v>68</v>
      </c>
      <c r="G2" s="7" t="s">
        <v>69</v>
      </c>
      <c r="H2" s="7" t="s">
        <v>70</v>
      </c>
      <c r="I2" s="7" t="s">
        <v>71</v>
      </c>
      <c r="J2" s="7" t="s">
        <v>72</v>
      </c>
      <c r="K2" s="7" t="s">
        <v>73</v>
      </c>
      <c r="L2" s="8" t="s">
        <v>74</v>
      </c>
      <c r="M2" s="8" t="s">
        <v>75</v>
      </c>
      <c r="N2" s="8" t="s">
        <v>76</v>
      </c>
      <c r="O2" s="9" t="s">
        <v>77</v>
      </c>
      <c r="P2" s="9" t="s">
        <v>77</v>
      </c>
    </row>
    <row r="3" customFormat="false" ht="15" hidden="false" customHeight="true" outlineLevel="0" collapsed="false">
      <c r="A3" s="7" t="s">
        <v>78</v>
      </c>
      <c r="B3" s="7" t="s">
        <v>79</v>
      </c>
      <c r="C3" s="7" t="s">
        <v>80</v>
      </c>
      <c r="D3" s="7" t="s">
        <v>81</v>
      </c>
      <c r="E3" s="7" t="s">
        <v>82</v>
      </c>
      <c r="F3" s="7" t="s">
        <v>83</v>
      </c>
      <c r="G3" s="7" t="s">
        <v>84</v>
      </c>
      <c r="H3" s="7" t="s">
        <v>85</v>
      </c>
      <c r="I3" s="7" t="s">
        <v>86</v>
      </c>
      <c r="J3" s="7" t="s">
        <v>87</v>
      </c>
      <c r="K3" s="7" t="s">
        <v>88</v>
      </c>
      <c r="L3" s="8" t="s">
        <v>89</v>
      </c>
      <c r="M3" s="8" t="s">
        <v>90</v>
      </c>
      <c r="N3" s="8" t="s">
        <v>91</v>
      </c>
      <c r="O3" s="9" t="s">
        <v>92</v>
      </c>
      <c r="P3" s="9" t="s">
        <v>92</v>
      </c>
    </row>
    <row r="4" customFormat="false" ht="15" hidden="false" customHeight="true" outlineLevel="0" collapsed="false">
      <c r="A4" s="7" t="s">
        <v>93</v>
      </c>
      <c r="B4" s="7" t="s">
        <v>94</v>
      </c>
      <c r="C4" s="7" t="s">
        <v>95</v>
      </c>
      <c r="D4" s="7" t="s">
        <v>96</v>
      </c>
      <c r="E4" s="7" t="s">
        <v>97</v>
      </c>
      <c r="F4" s="7" t="s">
        <v>98</v>
      </c>
      <c r="G4" s="7" t="s">
        <v>99</v>
      </c>
      <c r="H4" s="7" t="s">
        <v>100</v>
      </c>
      <c r="I4" s="7" t="s">
        <v>101</v>
      </c>
      <c r="J4" s="7" t="s">
        <v>102</v>
      </c>
      <c r="K4" s="7" t="s">
        <v>103</v>
      </c>
      <c r="L4" s="8" t="s">
        <v>104</v>
      </c>
      <c r="M4" s="8" t="s">
        <v>105</v>
      </c>
      <c r="N4" s="8" t="s">
        <v>106</v>
      </c>
      <c r="O4" s="9" t="s">
        <v>107</v>
      </c>
      <c r="P4" s="9" t="s">
        <v>107</v>
      </c>
    </row>
    <row r="5" customFormat="false" ht="15" hidden="false" customHeight="true" outlineLevel="0" collapsed="false">
      <c r="A5" s="7"/>
      <c r="B5" s="7" t="s">
        <v>108</v>
      </c>
      <c r="C5" s="7"/>
      <c r="D5" s="7" t="s">
        <v>109</v>
      </c>
      <c r="E5" s="7" t="s">
        <v>110</v>
      </c>
      <c r="F5" s="7" t="s">
        <v>111</v>
      </c>
      <c r="G5" s="7" t="s">
        <v>112</v>
      </c>
      <c r="H5" s="7" t="s">
        <v>113</v>
      </c>
      <c r="I5" s="7" t="s">
        <v>114</v>
      </c>
      <c r="J5" s="7" t="s">
        <v>115</v>
      </c>
      <c r="K5" s="7"/>
      <c r="L5" s="8" t="s">
        <v>116</v>
      </c>
      <c r="M5" s="8" t="s">
        <v>117</v>
      </c>
      <c r="O5" s="9" t="s">
        <v>118</v>
      </c>
      <c r="P5" s="9" t="s">
        <v>118</v>
      </c>
    </row>
    <row r="6" customFormat="false" ht="15" hidden="false" customHeight="true" outlineLevel="0" collapsed="false">
      <c r="A6" s="7"/>
      <c r="B6" s="7" t="s">
        <v>119</v>
      </c>
      <c r="C6" s="7"/>
      <c r="D6" s="7" t="s">
        <v>120</v>
      </c>
      <c r="E6" s="7"/>
      <c r="F6" s="7" t="s">
        <v>121</v>
      </c>
      <c r="G6" s="7" t="s">
        <v>122</v>
      </c>
      <c r="H6" s="7" t="s">
        <v>123</v>
      </c>
      <c r="I6" s="7" t="s">
        <v>118</v>
      </c>
      <c r="J6" s="7" t="s">
        <v>124</v>
      </c>
      <c r="K6" s="7"/>
      <c r="L6" s="8" t="s">
        <v>125</v>
      </c>
      <c r="M6" s="8" t="s">
        <v>126</v>
      </c>
      <c r="O6" s="9" t="s">
        <v>127</v>
      </c>
      <c r="P6" s="9" t="s">
        <v>127</v>
      </c>
    </row>
    <row r="7" customFormat="false" ht="15" hidden="false" customHeight="true" outlineLevel="0" collapsed="false">
      <c r="A7" s="7"/>
      <c r="B7" s="7"/>
      <c r="C7" s="7"/>
      <c r="D7" s="7" t="s">
        <v>128</v>
      </c>
      <c r="E7" s="7"/>
      <c r="F7" s="7" t="s">
        <v>129</v>
      </c>
      <c r="G7" s="7" t="s">
        <v>130</v>
      </c>
      <c r="H7" s="7"/>
      <c r="I7" s="7"/>
      <c r="J7" s="7" t="s">
        <v>131</v>
      </c>
      <c r="K7" s="7"/>
      <c r="L7" s="8" t="s">
        <v>132</v>
      </c>
    </row>
    <row r="8" customFormat="false" ht="15" hidden="false" customHeight="true" outlineLevel="0" collapsed="false">
      <c r="A8" s="7"/>
      <c r="B8" s="7"/>
      <c r="C8" s="7"/>
      <c r="D8" s="7" t="s">
        <v>133</v>
      </c>
      <c r="E8" s="7"/>
      <c r="F8" s="7" t="s">
        <v>134</v>
      </c>
      <c r="G8" s="7" t="s">
        <v>135</v>
      </c>
      <c r="H8" s="7"/>
      <c r="I8" s="7"/>
      <c r="J8" s="7" t="s">
        <v>136</v>
      </c>
      <c r="K8" s="7"/>
      <c r="L8" s="8" t="s">
        <v>137</v>
      </c>
    </row>
    <row r="9" customFormat="false" ht="15" hidden="false" customHeight="true" outlineLevel="0" collapsed="false">
      <c r="A9" s="7"/>
      <c r="B9" s="7"/>
      <c r="C9" s="7"/>
      <c r="D9" s="7" t="s">
        <v>138</v>
      </c>
      <c r="E9" s="7"/>
      <c r="F9" s="7"/>
      <c r="G9" s="7" t="s">
        <v>139</v>
      </c>
      <c r="H9" s="7"/>
      <c r="I9" s="7"/>
      <c r="J9" s="7" t="s">
        <v>140</v>
      </c>
      <c r="K9" s="7"/>
    </row>
    <row r="10" customFormat="false" ht="15" hidden="false" customHeight="true" outlineLevel="0" collapsed="false">
      <c r="A10" s="7"/>
      <c r="B10" s="7"/>
      <c r="C10" s="7"/>
      <c r="D10" s="7" t="s">
        <v>76</v>
      </c>
      <c r="E10" s="7"/>
      <c r="F10" s="7"/>
      <c r="G10" s="7"/>
      <c r="H10" s="7"/>
      <c r="I10" s="7"/>
      <c r="J10" s="7" t="s">
        <v>141</v>
      </c>
      <c r="K10" s="7"/>
    </row>
    <row r="11" customFormat="false" ht="15" hidden="false" customHeight="true" outlineLevel="0" collapsed="false">
      <c r="A11" s="7"/>
      <c r="B11" s="7"/>
      <c r="C11" s="7"/>
      <c r="D11" s="7"/>
      <c r="E11" s="7"/>
      <c r="F11" s="7"/>
      <c r="G11" s="7"/>
      <c r="H11" s="7"/>
      <c r="I11" s="7"/>
      <c r="J11" s="7" t="s">
        <v>142</v>
      </c>
      <c r="K11" s="7"/>
    </row>
    <row r="13" customFormat="false" ht="15" hidden="false" customHeight="true" outlineLevel="0" collapsed="false">
      <c r="A13" s="10" t="s">
        <v>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4"/>
    <col collapsed="false" customWidth="true" hidden="false" outlineLevel="0" max="3" min="3" style="1" width="16"/>
    <col collapsed="false" customWidth="true" hidden="false" outlineLevel="0" max="4" min="4" style="1" width="12"/>
    <col collapsed="false" customWidth="true" hidden="false" outlineLevel="0" max="5" min="5" style="1" width="20"/>
    <col collapsed="false" customWidth="true" hidden="false" outlineLevel="0" max="6" min="6" style="1" width="34"/>
    <col collapsed="false" customWidth="true" hidden="false" outlineLevel="0" max="7" min="7" style="1" width="38"/>
    <col collapsed="false" customWidth="true" hidden="false" outlineLevel="0" max="8" min="8" style="1" width="10"/>
    <col collapsed="false" customWidth="true" hidden="false" outlineLevel="0" max="9" min="9" style="1" width="12"/>
    <col collapsed="false" customWidth="true" hidden="false" outlineLevel="0" max="10" min="10" style="1" width="34"/>
  </cols>
  <sheetData>
    <row r="1" customFormat="false" ht="30" hidden="false" customHeight="true" outlineLevel="0" collapsed="false">
      <c r="A1" s="4" t="s">
        <v>55</v>
      </c>
      <c r="B1" s="4" t="s">
        <v>144</v>
      </c>
      <c r="C1" s="4" t="s">
        <v>145</v>
      </c>
      <c r="D1" s="4" t="s">
        <v>146</v>
      </c>
      <c r="E1" s="4" t="s">
        <v>147</v>
      </c>
      <c r="F1" s="4" t="s">
        <v>148</v>
      </c>
      <c r="G1" s="4" t="s">
        <v>149</v>
      </c>
      <c r="H1" s="4" t="s">
        <v>48</v>
      </c>
      <c r="I1" s="4" t="s">
        <v>150</v>
      </c>
      <c r="J1" s="4" t="s">
        <v>151</v>
      </c>
    </row>
    <row r="2" customFormat="false" ht="23.25" hidden="false" customHeight="true" outlineLevel="0" collapsed="false">
      <c r="A2" s="7" t="s">
        <v>70</v>
      </c>
      <c r="B2" s="7" t="s">
        <v>152</v>
      </c>
      <c r="C2" s="7" t="s">
        <v>153</v>
      </c>
      <c r="D2" s="7" t="s">
        <v>154</v>
      </c>
      <c r="E2" s="7" t="s">
        <v>155</v>
      </c>
      <c r="F2" s="7" t="s">
        <v>156</v>
      </c>
      <c r="G2" s="7" t="s">
        <v>157</v>
      </c>
      <c r="H2" s="7" t="s">
        <v>63</v>
      </c>
      <c r="I2" s="7" t="n">
        <v>2</v>
      </c>
      <c r="J2" s="7" t="s">
        <v>158</v>
      </c>
    </row>
    <row r="3" customFormat="false" ht="23.25" hidden="false" customHeight="true" outlineLevel="0" collapsed="false">
      <c r="A3" s="7" t="s">
        <v>85</v>
      </c>
      <c r="B3" s="7" t="s">
        <v>159</v>
      </c>
      <c r="C3" s="7" t="s">
        <v>160</v>
      </c>
      <c r="D3" s="7" t="s">
        <v>161</v>
      </c>
      <c r="E3" s="7" t="s">
        <v>162</v>
      </c>
      <c r="F3" s="7" t="s">
        <v>163</v>
      </c>
      <c r="G3" s="7" t="s">
        <v>164</v>
      </c>
      <c r="H3" s="7" t="s">
        <v>78</v>
      </c>
      <c r="I3" s="7" t="n">
        <v>2</v>
      </c>
      <c r="J3" s="7" t="s">
        <v>165</v>
      </c>
    </row>
    <row r="4" customFormat="false" ht="23.25" hidden="false" customHeight="true" outlineLevel="0" collapsed="false">
      <c r="A4" s="7" t="s">
        <v>100</v>
      </c>
      <c r="B4" s="7" t="s">
        <v>166</v>
      </c>
      <c r="C4" s="7" t="s">
        <v>167</v>
      </c>
      <c r="D4" s="7" t="s">
        <v>168</v>
      </c>
      <c r="E4" s="7" t="s">
        <v>169</v>
      </c>
      <c r="F4" s="7" t="s">
        <v>170</v>
      </c>
      <c r="G4" s="7" t="s">
        <v>171</v>
      </c>
      <c r="H4" s="7" t="s">
        <v>93</v>
      </c>
      <c r="I4" s="7" t="n">
        <v>2</v>
      </c>
      <c r="J4" s="7" t="s">
        <v>172</v>
      </c>
    </row>
    <row r="5" customFormat="false" ht="23.25" hidden="false" customHeight="true" outlineLevel="0" collapsed="false">
      <c r="A5" s="7" t="s">
        <v>113</v>
      </c>
      <c r="B5" s="7" t="s">
        <v>173</v>
      </c>
      <c r="C5" s="7" t="s">
        <v>174</v>
      </c>
      <c r="D5" s="7" t="s">
        <v>175</v>
      </c>
      <c r="E5" s="7" t="s">
        <v>176</v>
      </c>
      <c r="F5" s="7" t="s">
        <v>177</v>
      </c>
      <c r="G5" s="7" t="s">
        <v>178</v>
      </c>
      <c r="H5" s="7" t="s">
        <v>93</v>
      </c>
      <c r="I5" s="7" t="n">
        <v>1</v>
      </c>
      <c r="J5" s="7" t="s">
        <v>179</v>
      </c>
    </row>
    <row r="6" customFormat="false" ht="23.25" hidden="false" customHeight="true" outlineLevel="0" collapsed="false">
      <c r="A6" s="7" t="s">
        <v>123</v>
      </c>
      <c r="B6" s="7" t="s">
        <v>180</v>
      </c>
      <c r="C6" s="7" t="s">
        <v>181</v>
      </c>
      <c r="D6" s="7" t="s">
        <v>182</v>
      </c>
      <c r="E6" s="7" t="s">
        <v>183</v>
      </c>
      <c r="F6" s="7" t="s">
        <v>184</v>
      </c>
      <c r="G6" s="7" t="s">
        <v>185</v>
      </c>
      <c r="H6" s="7" t="s">
        <v>93</v>
      </c>
      <c r="I6" s="7" t="n">
        <v>0</v>
      </c>
      <c r="J6" s="7" t="s">
        <v>186</v>
      </c>
    </row>
    <row r="8" customFormat="false" ht="15" hidden="false" customHeight="true" outlineLevel="0" collapsed="false">
      <c r="A8" s="10"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8"/>
    <col collapsed="false" customWidth="true" hidden="false" outlineLevel="0" max="3" min="3" style="1" width="11"/>
    <col collapsed="false" customWidth="true" hidden="false" outlineLevel="0" max="4" min="4" style="1" width="12"/>
    <col collapsed="false" customWidth="true" hidden="false" outlineLevel="0" max="5" min="5" style="1" width="13"/>
    <col collapsed="false" customWidth="true" hidden="false" outlineLevel="0" max="6" min="6" style="1" width="11"/>
    <col collapsed="false" customWidth="true" hidden="false" outlineLevel="0" max="7" min="7" style="1" width="16"/>
    <col collapsed="false" customWidth="true" hidden="false" outlineLevel="0" max="8" min="8" style="1" width="20"/>
    <col collapsed="false" customWidth="true" hidden="false" outlineLevel="0" max="9" min="9" style="1" width="18"/>
    <col collapsed="false" customWidth="true" hidden="false" outlineLevel="0" max="10" min="10" style="1" width="30"/>
  </cols>
  <sheetData>
    <row r="1" customFormat="false" ht="30" hidden="false" customHeight="true" outlineLevel="0" collapsed="false">
      <c r="A1" s="4" t="s">
        <v>188</v>
      </c>
      <c r="B1" s="4" t="s">
        <v>189</v>
      </c>
      <c r="C1" s="4" t="s">
        <v>190</v>
      </c>
      <c r="D1" s="4" t="s">
        <v>191</v>
      </c>
      <c r="E1" s="4" t="s">
        <v>192</v>
      </c>
      <c r="F1" s="4" t="s">
        <v>52</v>
      </c>
      <c r="G1" s="4" t="s">
        <v>193</v>
      </c>
      <c r="H1" s="4" t="s">
        <v>194</v>
      </c>
      <c r="I1" s="4" t="s">
        <v>195</v>
      </c>
      <c r="J1" s="4" t="s">
        <v>151</v>
      </c>
    </row>
    <row r="2" customFormat="false" ht="15" hidden="false" customHeight="true" outlineLevel="0" collapsed="false">
      <c r="A2" s="7" t="s">
        <v>196</v>
      </c>
      <c r="B2" s="7" t="s">
        <v>197</v>
      </c>
      <c r="C2" s="7" t="s">
        <v>68</v>
      </c>
      <c r="D2" s="7" t="s">
        <v>76</v>
      </c>
      <c r="E2" s="7" t="s">
        <v>76</v>
      </c>
      <c r="F2" s="7" t="s">
        <v>67</v>
      </c>
      <c r="G2" s="7"/>
      <c r="H2" s="7"/>
      <c r="I2" s="7" t="s">
        <v>198</v>
      </c>
      <c r="J2" s="7"/>
    </row>
    <row r="3" customFormat="false" ht="15" hidden="false" customHeight="true" outlineLevel="0" collapsed="false">
      <c r="A3" s="7" t="s">
        <v>199</v>
      </c>
      <c r="B3" s="7" t="s">
        <v>200</v>
      </c>
      <c r="C3" s="7" t="s">
        <v>83</v>
      </c>
      <c r="D3" s="7" t="s">
        <v>66</v>
      </c>
      <c r="E3" s="7" t="s">
        <v>76</v>
      </c>
      <c r="F3" s="7" t="s">
        <v>67</v>
      </c>
      <c r="G3" s="7" t="s">
        <v>196</v>
      </c>
      <c r="H3" s="7"/>
      <c r="I3" s="7" t="s">
        <v>198</v>
      </c>
      <c r="J3" s="7" t="s">
        <v>201</v>
      </c>
    </row>
    <row r="4" customFormat="false" ht="15" hidden="false" customHeight="true" outlineLevel="0" collapsed="false">
      <c r="A4" s="7" t="s">
        <v>202</v>
      </c>
      <c r="B4" s="7" t="s">
        <v>203</v>
      </c>
      <c r="C4" s="7" t="s">
        <v>83</v>
      </c>
      <c r="D4" s="7" t="s">
        <v>81</v>
      </c>
      <c r="E4" s="7" t="s">
        <v>76</v>
      </c>
      <c r="F4" s="7" t="s">
        <v>67</v>
      </c>
      <c r="G4" s="7" t="s">
        <v>196</v>
      </c>
      <c r="H4" s="7"/>
      <c r="I4" s="7" t="s">
        <v>198</v>
      </c>
      <c r="J4" s="7" t="s">
        <v>201</v>
      </c>
    </row>
    <row r="5" customFormat="false" ht="15" hidden="false" customHeight="true" outlineLevel="0" collapsed="false">
      <c r="A5" s="7" t="s">
        <v>204</v>
      </c>
      <c r="B5" s="7" t="s">
        <v>205</v>
      </c>
      <c r="C5" s="7" t="s">
        <v>83</v>
      </c>
      <c r="D5" s="7" t="s">
        <v>96</v>
      </c>
      <c r="E5" s="7" t="s">
        <v>76</v>
      </c>
      <c r="F5" s="7" t="s">
        <v>67</v>
      </c>
      <c r="G5" s="7" t="s">
        <v>196</v>
      </c>
      <c r="H5" s="7"/>
      <c r="I5" s="7" t="s">
        <v>198</v>
      </c>
      <c r="J5" s="7" t="s">
        <v>201</v>
      </c>
    </row>
    <row r="6" customFormat="false" ht="15" hidden="false" customHeight="true" outlineLevel="0" collapsed="false">
      <c r="A6" s="7" t="s">
        <v>206</v>
      </c>
      <c r="B6" s="7" t="s">
        <v>207</v>
      </c>
      <c r="C6" s="7" t="s">
        <v>83</v>
      </c>
      <c r="D6" s="7" t="s">
        <v>109</v>
      </c>
      <c r="E6" s="7" t="s">
        <v>76</v>
      </c>
      <c r="F6" s="7" t="s">
        <v>67</v>
      </c>
      <c r="G6" s="7" t="s">
        <v>196</v>
      </c>
      <c r="H6" s="7"/>
      <c r="I6" s="7" t="s">
        <v>198</v>
      </c>
      <c r="J6" s="7" t="s">
        <v>201</v>
      </c>
    </row>
    <row r="7" customFormat="false" ht="15" hidden="false" customHeight="true" outlineLevel="0" collapsed="false">
      <c r="A7" s="7" t="s">
        <v>208</v>
      </c>
      <c r="B7" s="7" t="s">
        <v>209</v>
      </c>
      <c r="C7" s="7" t="s">
        <v>83</v>
      </c>
      <c r="D7" s="7" t="s">
        <v>120</v>
      </c>
      <c r="E7" s="7" t="s">
        <v>76</v>
      </c>
      <c r="F7" s="7" t="s">
        <v>67</v>
      </c>
      <c r="G7" s="7" t="s">
        <v>196</v>
      </c>
      <c r="H7" s="7"/>
      <c r="I7" s="7" t="s">
        <v>198</v>
      </c>
      <c r="J7" s="7" t="s">
        <v>201</v>
      </c>
    </row>
    <row r="8" customFormat="false" ht="15" hidden="false" customHeight="true" outlineLevel="0" collapsed="false">
      <c r="A8" s="7" t="s">
        <v>210</v>
      </c>
      <c r="B8" s="7" t="s">
        <v>211</v>
      </c>
      <c r="C8" s="7" t="s">
        <v>83</v>
      </c>
      <c r="D8" s="7" t="s">
        <v>128</v>
      </c>
      <c r="E8" s="7" t="s">
        <v>76</v>
      </c>
      <c r="F8" s="7" t="s">
        <v>67</v>
      </c>
      <c r="G8" s="7" t="s">
        <v>196</v>
      </c>
      <c r="H8" s="7"/>
      <c r="I8" s="7" t="s">
        <v>198</v>
      </c>
      <c r="J8" s="7" t="s">
        <v>201</v>
      </c>
    </row>
    <row r="9" customFormat="false" ht="15" hidden="false" customHeight="true" outlineLevel="0" collapsed="false">
      <c r="A9" s="7" t="s">
        <v>212</v>
      </c>
      <c r="B9" s="7" t="s">
        <v>213</v>
      </c>
      <c r="C9" s="7" t="s">
        <v>83</v>
      </c>
      <c r="D9" s="7" t="s">
        <v>133</v>
      </c>
      <c r="E9" s="7" t="s">
        <v>76</v>
      </c>
      <c r="F9" s="7" t="s">
        <v>67</v>
      </c>
      <c r="G9" s="7" t="s">
        <v>196</v>
      </c>
      <c r="H9" s="7"/>
      <c r="I9" s="7" t="s">
        <v>198</v>
      </c>
      <c r="J9" s="7" t="s">
        <v>201</v>
      </c>
    </row>
    <row r="10" customFormat="false" ht="15" hidden="false" customHeight="true" outlineLevel="0" collapsed="false">
      <c r="A10" s="7" t="s">
        <v>214</v>
      </c>
      <c r="B10" s="7" t="s">
        <v>215</v>
      </c>
      <c r="C10" s="7" t="s">
        <v>98</v>
      </c>
      <c r="D10" s="7" t="s">
        <v>66</v>
      </c>
      <c r="E10" s="7" t="s">
        <v>67</v>
      </c>
      <c r="F10" s="7" t="s">
        <v>67</v>
      </c>
      <c r="G10" s="7" t="s">
        <v>199</v>
      </c>
      <c r="H10" s="7"/>
      <c r="I10" s="7" t="s">
        <v>216</v>
      </c>
      <c r="J10" s="7" t="s">
        <v>217</v>
      </c>
    </row>
    <row r="11" customFormat="false" ht="15" hidden="false" customHeight="true" outlineLevel="0" collapsed="false">
      <c r="A11" s="7" t="s">
        <v>218</v>
      </c>
      <c r="B11" s="7" t="s">
        <v>219</v>
      </c>
      <c r="C11" s="7" t="s">
        <v>98</v>
      </c>
      <c r="D11" s="7" t="s">
        <v>66</v>
      </c>
      <c r="E11" s="7" t="s">
        <v>82</v>
      </c>
      <c r="F11" s="7" t="s">
        <v>82</v>
      </c>
      <c r="G11" s="7" t="s">
        <v>199</v>
      </c>
      <c r="H11" s="7"/>
      <c r="I11" s="7" t="s">
        <v>216</v>
      </c>
      <c r="J11" s="7" t="s">
        <v>217</v>
      </c>
    </row>
    <row r="12" customFormat="false" ht="15" hidden="false" customHeight="true" outlineLevel="0" collapsed="false">
      <c r="A12" s="7" t="s">
        <v>220</v>
      </c>
      <c r="B12" s="7" t="s">
        <v>221</v>
      </c>
      <c r="C12" s="7" t="s">
        <v>98</v>
      </c>
      <c r="D12" s="7" t="s">
        <v>66</v>
      </c>
      <c r="E12" s="7" t="s">
        <v>97</v>
      </c>
      <c r="F12" s="7" t="s">
        <v>97</v>
      </c>
      <c r="G12" s="7" t="s">
        <v>199</v>
      </c>
      <c r="H12" s="7"/>
      <c r="I12" s="7" t="s">
        <v>216</v>
      </c>
      <c r="J12" s="7" t="s">
        <v>217</v>
      </c>
    </row>
    <row r="13" customFormat="false" ht="15" hidden="false" customHeight="true" outlineLevel="0" collapsed="false">
      <c r="A13" s="7" t="s">
        <v>222</v>
      </c>
      <c r="B13" s="7" t="s">
        <v>223</v>
      </c>
      <c r="C13" s="7" t="s">
        <v>98</v>
      </c>
      <c r="D13" s="7" t="s">
        <v>66</v>
      </c>
      <c r="E13" s="7" t="s">
        <v>110</v>
      </c>
      <c r="F13" s="7" t="s">
        <v>110</v>
      </c>
      <c r="G13" s="7" t="s">
        <v>199</v>
      </c>
      <c r="H13" s="7" t="s">
        <v>224</v>
      </c>
      <c r="I13" s="7" t="s">
        <v>216</v>
      </c>
      <c r="J13" s="7" t="s">
        <v>217</v>
      </c>
    </row>
    <row r="14" customFormat="false" ht="15" hidden="false" customHeight="true" outlineLevel="0" collapsed="false">
      <c r="A14" s="7" t="s">
        <v>225</v>
      </c>
      <c r="B14" s="7" t="s">
        <v>226</v>
      </c>
      <c r="C14" s="7" t="s">
        <v>98</v>
      </c>
      <c r="D14" s="7" t="s">
        <v>81</v>
      </c>
      <c r="E14" s="7" t="s">
        <v>67</v>
      </c>
      <c r="F14" s="7" t="s">
        <v>67</v>
      </c>
      <c r="G14" s="7" t="s">
        <v>202</v>
      </c>
      <c r="H14" s="7"/>
      <c r="I14" s="7" t="s">
        <v>216</v>
      </c>
      <c r="J14" s="7" t="s">
        <v>217</v>
      </c>
    </row>
    <row r="15" customFormat="false" ht="15" hidden="false" customHeight="true" outlineLevel="0" collapsed="false">
      <c r="A15" s="7" t="s">
        <v>227</v>
      </c>
      <c r="B15" s="7" t="s">
        <v>228</v>
      </c>
      <c r="C15" s="7" t="s">
        <v>98</v>
      </c>
      <c r="D15" s="7" t="s">
        <v>81</v>
      </c>
      <c r="E15" s="7" t="s">
        <v>82</v>
      </c>
      <c r="F15" s="7" t="s">
        <v>82</v>
      </c>
      <c r="G15" s="7" t="s">
        <v>202</v>
      </c>
      <c r="H15" s="7"/>
      <c r="I15" s="7" t="s">
        <v>216</v>
      </c>
      <c r="J15" s="7" t="s">
        <v>217</v>
      </c>
    </row>
    <row r="16" customFormat="false" ht="15" hidden="false" customHeight="true" outlineLevel="0" collapsed="false">
      <c r="A16" s="7" t="s">
        <v>229</v>
      </c>
      <c r="B16" s="7" t="s">
        <v>230</v>
      </c>
      <c r="C16" s="7" t="s">
        <v>98</v>
      </c>
      <c r="D16" s="7" t="s">
        <v>81</v>
      </c>
      <c r="E16" s="7" t="s">
        <v>97</v>
      </c>
      <c r="F16" s="7" t="s">
        <v>97</v>
      </c>
      <c r="G16" s="7" t="s">
        <v>202</v>
      </c>
      <c r="H16" s="7"/>
      <c r="I16" s="7" t="s">
        <v>216</v>
      </c>
      <c r="J16" s="7" t="s">
        <v>217</v>
      </c>
    </row>
    <row r="17" customFormat="false" ht="15" hidden="false" customHeight="true" outlineLevel="0" collapsed="false">
      <c r="A17" s="7" t="s">
        <v>231</v>
      </c>
      <c r="B17" s="7" t="s">
        <v>232</v>
      </c>
      <c r="C17" s="7" t="s">
        <v>98</v>
      </c>
      <c r="D17" s="7" t="s">
        <v>81</v>
      </c>
      <c r="E17" s="7" t="s">
        <v>110</v>
      </c>
      <c r="F17" s="7" t="s">
        <v>110</v>
      </c>
      <c r="G17" s="7" t="s">
        <v>202</v>
      </c>
      <c r="H17" s="7"/>
      <c r="I17" s="7" t="s">
        <v>216</v>
      </c>
      <c r="J17" s="7" t="s">
        <v>217</v>
      </c>
    </row>
    <row r="18" customFormat="false" ht="15" hidden="false" customHeight="true" outlineLevel="0" collapsed="false">
      <c r="A18" s="7" t="s">
        <v>233</v>
      </c>
      <c r="B18" s="7" t="s">
        <v>234</v>
      </c>
      <c r="C18" s="7" t="s">
        <v>98</v>
      </c>
      <c r="D18" s="7" t="s">
        <v>96</v>
      </c>
      <c r="E18" s="7" t="s">
        <v>67</v>
      </c>
      <c r="F18" s="7" t="s">
        <v>67</v>
      </c>
      <c r="G18" s="7" t="s">
        <v>204</v>
      </c>
      <c r="H18" s="7"/>
      <c r="I18" s="7" t="s">
        <v>216</v>
      </c>
      <c r="J18" s="7" t="s">
        <v>217</v>
      </c>
    </row>
    <row r="19" customFormat="false" ht="15" hidden="false" customHeight="true" outlineLevel="0" collapsed="false">
      <c r="A19" s="7" t="s">
        <v>235</v>
      </c>
      <c r="B19" s="7" t="s">
        <v>236</v>
      </c>
      <c r="C19" s="7" t="s">
        <v>98</v>
      </c>
      <c r="D19" s="7" t="s">
        <v>96</v>
      </c>
      <c r="E19" s="7" t="s">
        <v>82</v>
      </c>
      <c r="F19" s="7" t="s">
        <v>82</v>
      </c>
      <c r="G19" s="7" t="s">
        <v>204</v>
      </c>
      <c r="H19" s="7" t="s">
        <v>237</v>
      </c>
      <c r="I19" s="7" t="s">
        <v>216</v>
      </c>
      <c r="J19" s="7" t="s">
        <v>217</v>
      </c>
    </row>
    <row r="20" customFormat="false" ht="15" hidden="false" customHeight="true" outlineLevel="0" collapsed="false">
      <c r="A20" s="7" t="s">
        <v>238</v>
      </c>
      <c r="B20" s="7" t="s">
        <v>239</v>
      </c>
      <c r="C20" s="7" t="s">
        <v>98</v>
      </c>
      <c r="D20" s="7" t="s">
        <v>96</v>
      </c>
      <c r="E20" s="7" t="s">
        <v>97</v>
      </c>
      <c r="F20" s="7" t="s">
        <v>97</v>
      </c>
      <c r="G20" s="7" t="s">
        <v>204</v>
      </c>
      <c r="H20" s="7"/>
      <c r="I20" s="7" t="s">
        <v>216</v>
      </c>
      <c r="J20" s="7" t="s">
        <v>217</v>
      </c>
    </row>
    <row r="21" customFormat="false" ht="15" hidden="false" customHeight="true" outlineLevel="0" collapsed="false">
      <c r="A21" s="7" t="s">
        <v>240</v>
      </c>
      <c r="B21" s="7" t="s">
        <v>241</v>
      </c>
      <c r="C21" s="7" t="s">
        <v>98</v>
      </c>
      <c r="D21" s="7" t="s">
        <v>96</v>
      </c>
      <c r="E21" s="7" t="s">
        <v>110</v>
      </c>
      <c r="F21" s="7" t="s">
        <v>110</v>
      </c>
      <c r="G21" s="7" t="s">
        <v>204</v>
      </c>
      <c r="H21" s="7"/>
      <c r="I21" s="7" t="s">
        <v>216</v>
      </c>
      <c r="J21" s="7" t="s">
        <v>217</v>
      </c>
    </row>
    <row r="22" customFormat="false" ht="15" hidden="false" customHeight="true" outlineLevel="0" collapsed="false">
      <c r="A22" s="7" t="s">
        <v>242</v>
      </c>
      <c r="B22" s="7" t="s">
        <v>243</v>
      </c>
      <c r="C22" s="7" t="s">
        <v>98</v>
      </c>
      <c r="D22" s="7" t="s">
        <v>109</v>
      </c>
      <c r="E22" s="7" t="s">
        <v>67</v>
      </c>
      <c r="F22" s="7" t="s">
        <v>67</v>
      </c>
      <c r="G22" s="7" t="s">
        <v>206</v>
      </c>
      <c r="H22" s="7"/>
      <c r="I22" s="7" t="s">
        <v>216</v>
      </c>
      <c r="J22" s="7" t="s">
        <v>217</v>
      </c>
    </row>
    <row r="23" customFormat="false" ht="15" hidden="false" customHeight="true" outlineLevel="0" collapsed="false">
      <c r="A23" s="7" t="s">
        <v>244</v>
      </c>
      <c r="B23" s="7" t="s">
        <v>245</v>
      </c>
      <c r="C23" s="7" t="s">
        <v>98</v>
      </c>
      <c r="D23" s="7" t="s">
        <v>109</v>
      </c>
      <c r="E23" s="7" t="s">
        <v>82</v>
      </c>
      <c r="F23" s="7" t="s">
        <v>82</v>
      </c>
      <c r="G23" s="7" t="s">
        <v>206</v>
      </c>
      <c r="H23" s="7" t="s">
        <v>246</v>
      </c>
      <c r="I23" s="7" t="s">
        <v>216</v>
      </c>
      <c r="J23" s="7" t="s">
        <v>217</v>
      </c>
    </row>
    <row r="24" customFormat="false" ht="15" hidden="false" customHeight="true" outlineLevel="0" collapsed="false">
      <c r="A24" s="7" t="s">
        <v>247</v>
      </c>
      <c r="B24" s="7" t="s">
        <v>248</v>
      </c>
      <c r="C24" s="7" t="s">
        <v>98</v>
      </c>
      <c r="D24" s="7" t="s">
        <v>109</v>
      </c>
      <c r="E24" s="7" t="s">
        <v>97</v>
      </c>
      <c r="F24" s="7" t="s">
        <v>97</v>
      </c>
      <c r="G24" s="7" t="s">
        <v>206</v>
      </c>
      <c r="H24" s="7"/>
      <c r="I24" s="7" t="s">
        <v>216</v>
      </c>
      <c r="J24" s="7" t="s">
        <v>217</v>
      </c>
    </row>
    <row r="25" customFormat="false" ht="15" hidden="false" customHeight="true" outlineLevel="0" collapsed="false">
      <c r="A25" s="7" t="s">
        <v>249</v>
      </c>
      <c r="B25" s="7" t="s">
        <v>250</v>
      </c>
      <c r="C25" s="7" t="s">
        <v>98</v>
      </c>
      <c r="D25" s="7" t="s">
        <v>109</v>
      </c>
      <c r="E25" s="7" t="s">
        <v>110</v>
      </c>
      <c r="F25" s="7" t="s">
        <v>110</v>
      </c>
      <c r="G25" s="7" t="s">
        <v>206</v>
      </c>
      <c r="H25" s="7"/>
      <c r="I25" s="7" t="s">
        <v>216</v>
      </c>
      <c r="J25" s="7" t="s">
        <v>217</v>
      </c>
    </row>
    <row r="26" customFormat="false" ht="15" hidden="false" customHeight="true" outlineLevel="0" collapsed="false">
      <c r="A26" s="7" t="s">
        <v>251</v>
      </c>
      <c r="B26" s="7" t="s">
        <v>252</v>
      </c>
      <c r="C26" s="7" t="s">
        <v>98</v>
      </c>
      <c r="D26" s="7" t="s">
        <v>120</v>
      </c>
      <c r="E26" s="7" t="s">
        <v>67</v>
      </c>
      <c r="F26" s="7" t="s">
        <v>67</v>
      </c>
      <c r="G26" s="7" t="s">
        <v>208</v>
      </c>
      <c r="H26" s="7"/>
      <c r="I26" s="7" t="s">
        <v>216</v>
      </c>
      <c r="J26" s="7" t="s">
        <v>217</v>
      </c>
    </row>
    <row r="27" customFormat="false" ht="15" hidden="false" customHeight="true" outlineLevel="0" collapsed="false">
      <c r="A27" s="7" t="s">
        <v>253</v>
      </c>
      <c r="B27" s="7" t="s">
        <v>254</v>
      </c>
      <c r="C27" s="7" t="s">
        <v>98</v>
      </c>
      <c r="D27" s="7" t="s">
        <v>120</v>
      </c>
      <c r="E27" s="7" t="s">
        <v>82</v>
      </c>
      <c r="F27" s="7" t="s">
        <v>82</v>
      </c>
      <c r="G27" s="7" t="s">
        <v>208</v>
      </c>
      <c r="H27" s="7" t="s">
        <v>255</v>
      </c>
      <c r="I27" s="7" t="s">
        <v>216</v>
      </c>
      <c r="J27" s="7" t="s">
        <v>217</v>
      </c>
    </row>
    <row r="28" customFormat="false" ht="15" hidden="false" customHeight="true" outlineLevel="0" collapsed="false">
      <c r="A28" s="7" t="s">
        <v>256</v>
      </c>
      <c r="B28" s="7" t="s">
        <v>257</v>
      </c>
      <c r="C28" s="7" t="s">
        <v>98</v>
      </c>
      <c r="D28" s="7" t="s">
        <v>128</v>
      </c>
      <c r="E28" s="7" t="s">
        <v>67</v>
      </c>
      <c r="F28" s="7" t="s">
        <v>67</v>
      </c>
      <c r="G28" s="7" t="s">
        <v>210</v>
      </c>
      <c r="H28" s="7"/>
      <c r="I28" s="7" t="s">
        <v>216</v>
      </c>
      <c r="J28" s="7" t="s">
        <v>217</v>
      </c>
    </row>
    <row r="29" customFormat="false" ht="23.25" hidden="false" customHeight="true" outlineLevel="0" collapsed="false">
      <c r="A29" s="7" t="s">
        <v>258</v>
      </c>
      <c r="B29" s="7" t="s">
        <v>259</v>
      </c>
      <c r="C29" s="7" t="s">
        <v>98</v>
      </c>
      <c r="D29" s="7" t="s">
        <v>128</v>
      </c>
      <c r="E29" s="7" t="s">
        <v>82</v>
      </c>
      <c r="F29" s="7" t="s">
        <v>82</v>
      </c>
      <c r="G29" s="7" t="s">
        <v>210</v>
      </c>
      <c r="H29" s="7" t="s">
        <v>260</v>
      </c>
      <c r="I29" s="7" t="s">
        <v>216</v>
      </c>
      <c r="J29" s="7" t="s">
        <v>217</v>
      </c>
    </row>
    <row r="30" customFormat="false" ht="15" hidden="false" customHeight="true" outlineLevel="0" collapsed="false">
      <c r="A30" s="7" t="s">
        <v>261</v>
      </c>
      <c r="B30" s="7" t="s">
        <v>262</v>
      </c>
      <c r="C30" s="7" t="s">
        <v>98</v>
      </c>
      <c r="D30" s="7" t="s">
        <v>128</v>
      </c>
      <c r="E30" s="7" t="s">
        <v>97</v>
      </c>
      <c r="F30" s="7" t="s">
        <v>97</v>
      </c>
      <c r="G30" s="7" t="s">
        <v>210</v>
      </c>
      <c r="H30" s="7" t="s">
        <v>263</v>
      </c>
      <c r="I30" s="7" t="s">
        <v>216</v>
      </c>
      <c r="J30" s="7" t="s">
        <v>217</v>
      </c>
    </row>
    <row r="31" customFormat="false" ht="15" hidden="false" customHeight="true" outlineLevel="0" collapsed="false">
      <c r="A31" s="7" t="s">
        <v>264</v>
      </c>
      <c r="B31" s="7" t="s">
        <v>265</v>
      </c>
      <c r="C31" s="7" t="s">
        <v>98</v>
      </c>
      <c r="D31" s="7" t="s">
        <v>133</v>
      </c>
      <c r="E31" s="7" t="s">
        <v>67</v>
      </c>
      <c r="F31" s="7" t="s">
        <v>67</v>
      </c>
      <c r="G31" s="7" t="s">
        <v>212</v>
      </c>
      <c r="H31" s="7"/>
      <c r="I31" s="7" t="s">
        <v>216</v>
      </c>
      <c r="J31" s="7" t="s">
        <v>217</v>
      </c>
    </row>
    <row r="32" customFormat="false" ht="15" hidden="false" customHeight="true" outlineLevel="0" collapsed="false">
      <c r="A32" s="7" t="s">
        <v>266</v>
      </c>
      <c r="B32" s="7" t="s">
        <v>267</v>
      </c>
      <c r="C32" s="7" t="s">
        <v>98</v>
      </c>
      <c r="D32" s="7" t="s">
        <v>133</v>
      </c>
      <c r="E32" s="7" t="s">
        <v>82</v>
      </c>
      <c r="F32" s="7" t="s">
        <v>82</v>
      </c>
      <c r="G32" s="7" t="s">
        <v>212</v>
      </c>
      <c r="H32" s="7" t="s">
        <v>268</v>
      </c>
      <c r="I32" s="7" t="s">
        <v>216</v>
      </c>
      <c r="J32" s="7" t="s">
        <v>217</v>
      </c>
    </row>
    <row r="33" customFormat="false" ht="15" hidden="false" customHeight="true" outlineLevel="0" collapsed="false">
      <c r="A33" s="7" t="s">
        <v>269</v>
      </c>
      <c r="B33" s="7" t="s">
        <v>270</v>
      </c>
      <c r="C33" s="7" t="s">
        <v>98</v>
      </c>
      <c r="D33" s="7" t="s">
        <v>133</v>
      </c>
      <c r="E33" s="7" t="s">
        <v>97</v>
      </c>
      <c r="F33" s="7" t="s">
        <v>97</v>
      </c>
      <c r="G33" s="7" t="s">
        <v>212</v>
      </c>
      <c r="H33" s="7" t="s">
        <v>271</v>
      </c>
      <c r="I33" s="7" t="s">
        <v>216</v>
      </c>
      <c r="J33" s="7" t="s">
        <v>217</v>
      </c>
    </row>
    <row r="34" customFormat="false" ht="15" hidden="false" customHeight="true" outlineLevel="0" collapsed="false">
      <c r="A34" s="7" t="s">
        <v>272</v>
      </c>
      <c r="B34" s="7" t="s">
        <v>273</v>
      </c>
      <c r="C34" s="7" t="s">
        <v>98</v>
      </c>
      <c r="D34" s="7" t="s">
        <v>133</v>
      </c>
      <c r="E34" s="7" t="s">
        <v>110</v>
      </c>
      <c r="F34" s="7" t="s">
        <v>110</v>
      </c>
      <c r="G34" s="7" t="s">
        <v>212</v>
      </c>
      <c r="H34" s="7"/>
      <c r="I34" s="7" t="s">
        <v>216</v>
      </c>
      <c r="J34" s="7" t="s">
        <v>217</v>
      </c>
    </row>
    <row r="35" customFormat="false" ht="15" hidden="false" customHeight="true" outlineLevel="0" collapsed="false">
      <c r="A35" s="7" t="s">
        <v>274</v>
      </c>
      <c r="B35" s="7" t="s">
        <v>275</v>
      </c>
      <c r="C35" s="7" t="s">
        <v>134</v>
      </c>
      <c r="D35" s="7" t="s">
        <v>96</v>
      </c>
      <c r="E35" s="7" t="s">
        <v>133</v>
      </c>
      <c r="F35" s="7" t="s">
        <v>67</v>
      </c>
      <c r="G35" s="7" t="s">
        <v>204</v>
      </c>
      <c r="H35" s="7"/>
      <c r="I35" s="7" t="s">
        <v>276</v>
      </c>
      <c r="J35" s="7" t="s">
        <v>277</v>
      </c>
    </row>
    <row r="36" customFormat="false" ht="15" hidden="false" customHeight="true" outlineLevel="0" collapsed="false">
      <c r="A36" s="7" t="s">
        <v>278</v>
      </c>
      <c r="B36" s="7" t="s">
        <v>279</v>
      </c>
      <c r="C36" s="7" t="s">
        <v>134</v>
      </c>
      <c r="D36" s="7" t="s">
        <v>109</v>
      </c>
      <c r="E36" s="7" t="s">
        <v>133</v>
      </c>
      <c r="F36" s="7" t="s">
        <v>67</v>
      </c>
      <c r="G36" s="7" t="s">
        <v>206</v>
      </c>
      <c r="H36" s="7"/>
      <c r="I36" s="7" t="s">
        <v>276</v>
      </c>
      <c r="J36" s="7" t="s">
        <v>280</v>
      </c>
    </row>
    <row r="37" customFormat="false" ht="15" hidden="false" customHeight="true" outlineLevel="0" collapsed="false">
      <c r="A37" s="7" t="s">
        <v>281</v>
      </c>
      <c r="B37" s="7" t="s">
        <v>282</v>
      </c>
      <c r="C37" s="7" t="s">
        <v>134</v>
      </c>
      <c r="D37" s="7" t="s">
        <v>120</v>
      </c>
      <c r="E37" s="7" t="s">
        <v>128</v>
      </c>
      <c r="F37" s="7" t="s">
        <v>67</v>
      </c>
      <c r="G37" s="7" t="s">
        <v>208</v>
      </c>
      <c r="H37" s="7"/>
      <c r="I37" s="7" t="s">
        <v>276</v>
      </c>
      <c r="J37" s="7" t="s">
        <v>183</v>
      </c>
    </row>
    <row r="38" customFormat="false" ht="23.25" hidden="false" customHeight="true" outlineLevel="0" collapsed="false">
      <c r="A38" s="7" t="s">
        <v>283</v>
      </c>
      <c r="B38" s="7" t="s">
        <v>284</v>
      </c>
      <c r="C38" s="7" t="s">
        <v>134</v>
      </c>
      <c r="D38" s="7" t="s">
        <v>128</v>
      </c>
      <c r="E38" s="7" t="s">
        <v>133</v>
      </c>
      <c r="F38" s="7" t="s">
        <v>67</v>
      </c>
      <c r="G38" s="7" t="s">
        <v>210</v>
      </c>
      <c r="H38" s="7"/>
      <c r="I38" s="7" t="s">
        <v>276</v>
      </c>
      <c r="J38" s="7" t="s">
        <v>285</v>
      </c>
    </row>
    <row r="39" customFormat="false" ht="15" hidden="false" customHeight="true" outlineLevel="0" collapsed="false">
      <c r="A39" s="7" t="s">
        <v>286</v>
      </c>
      <c r="B39" s="7" t="s">
        <v>287</v>
      </c>
      <c r="C39" s="7" t="s">
        <v>121</v>
      </c>
      <c r="D39" s="7" t="s">
        <v>66</v>
      </c>
      <c r="E39" s="7" t="s">
        <v>76</v>
      </c>
      <c r="F39" s="7" t="s">
        <v>67</v>
      </c>
      <c r="G39" s="7" t="s">
        <v>196</v>
      </c>
      <c r="H39" s="7"/>
      <c r="I39" s="7" t="s">
        <v>288</v>
      </c>
      <c r="J39" s="7" t="s">
        <v>289</v>
      </c>
    </row>
    <row r="40" customFormat="false" ht="15" hidden="false" customHeight="true" outlineLevel="0" collapsed="false">
      <c r="A40" s="7" t="s">
        <v>290</v>
      </c>
      <c r="B40" s="7" t="s">
        <v>291</v>
      </c>
      <c r="C40" s="7" t="s">
        <v>121</v>
      </c>
      <c r="D40" s="7" t="s">
        <v>66</v>
      </c>
      <c r="E40" s="7" t="s">
        <v>76</v>
      </c>
      <c r="F40" s="7" t="s">
        <v>67</v>
      </c>
      <c r="G40" s="7" t="s">
        <v>286</v>
      </c>
      <c r="H40" s="7"/>
      <c r="I40" s="7" t="s">
        <v>288</v>
      </c>
      <c r="J40" s="7" t="s">
        <v>289</v>
      </c>
    </row>
    <row r="41" customFormat="false" ht="15" hidden="false" customHeight="true" outlineLevel="0" collapsed="false">
      <c r="A41" s="7" t="s">
        <v>292</v>
      </c>
      <c r="B41" s="7" t="s">
        <v>293</v>
      </c>
      <c r="C41" s="7" t="s">
        <v>121</v>
      </c>
      <c r="D41" s="7" t="s">
        <v>66</v>
      </c>
      <c r="E41" s="7" t="s">
        <v>76</v>
      </c>
      <c r="F41" s="7" t="s">
        <v>67</v>
      </c>
      <c r="G41" s="7" t="s">
        <v>290</v>
      </c>
      <c r="H41" s="7"/>
      <c r="I41" s="7" t="s">
        <v>288</v>
      </c>
      <c r="J41" s="7" t="s">
        <v>289</v>
      </c>
    </row>
    <row r="42" customFormat="false" ht="15" hidden="false" customHeight="true" outlineLevel="0" collapsed="false">
      <c r="A42" s="7" t="s">
        <v>294</v>
      </c>
      <c r="B42" s="7" t="s">
        <v>295</v>
      </c>
      <c r="C42" s="7" t="s">
        <v>121</v>
      </c>
      <c r="D42" s="7" t="s">
        <v>66</v>
      </c>
      <c r="E42" s="7" t="s">
        <v>76</v>
      </c>
      <c r="F42" s="7" t="s">
        <v>67</v>
      </c>
      <c r="G42" s="7" t="s">
        <v>290</v>
      </c>
      <c r="H42" s="7"/>
      <c r="I42" s="7" t="s">
        <v>288</v>
      </c>
      <c r="J42" s="7" t="s">
        <v>289</v>
      </c>
    </row>
    <row r="43" customFormat="false" ht="15" hidden="false" customHeight="true" outlineLevel="0" collapsed="false">
      <c r="A43" s="7" t="s">
        <v>296</v>
      </c>
      <c r="B43" s="7" t="s">
        <v>297</v>
      </c>
      <c r="C43" s="7" t="s">
        <v>129</v>
      </c>
      <c r="D43" s="7" t="s">
        <v>66</v>
      </c>
      <c r="E43" s="7" t="s">
        <v>138</v>
      </c>
      <c r="F43" s="7" t="s">
        <v>67</v>
      </c>
      <c r="G43" s="7"/>
      <c r="H43" s="7"/>
      <c r="I43" s="7" t="s">
        <v>298</v>
      </c>
      <c r="J43" s="7" t="s">
        <v>299</v>
      </c>
    </row>
    <row r="44" customFormat="false" ht="23.25" hidden="false" customHeight="true" outlineLevel="0" collapsed="false">
      <c r="A44" s="7" t="s">
        <v>300</v>
      </c>
      <c r="B44" s="7" t="s">
        <v>301</v>
      </c>
      <c r="C44" s="7" t="s">
        <v>129</v>
      </c>
      <c r="D44" s="7" t="s">
        <v>76</v>
      </c>
      <c r="E44" s="7" t="s">
        <v>76</v>
      </c>
      <c r="F44" s="7" t="s">
        <v>67</v>
      </c>
      <c r="G44" s="7"/>
      <c r="H44" s="7"/>
      <c r="I44" s="7" t="s">
        <v>298</v>
      </c>
      <c r="J44" s="7" t="s">
        <v>302</v>
      </c>
    </row>
    <row r="45" customFormat="false" ht="15" hidden="false" customHeight="true" outlineLevel="0" collapsed="false">
      <c r="A45" s="7" t="s">
        <v>303</v>
      </c>
      <c r="B45" s="7" t="s">
        <v>304</v>
      </c>
      <c r="C45" s="7" t="s">
        <v>129</v>
      </c>
      <c r="D45" s="7" t="s">
        <v>109</v>
      </c>
      <c r="E45" s="7" t="s">
        <v>76</v>
      </c>
      <c r="F45" s="7" t="s">
        <v>67</v>
      </c>
      <c r="G45" s="7"/>
      <c r="H45" s="7"/>
      <c r="I45" s="7" t="s">
        <v>298</v>
      </c>
      <c r="J45" s="7" t="s">
        <v>305</v>
      </c>
    </row>
    <row r="46" customFormat="false" ht="15" hidden="false" customHeight="true" outlineLevel="0" collapsed="false">
      <c r="A46" s="7" t="s">
        <v>306</v>
      </c>
      <c r="B46" s="7" t="s">
        <v>307</v>
      </c>
      <c r="C46" s="7" t="s">
        <v>129</v>
      </c>
      <c r="D46" s="7" t="s">
        <v>76</v>
      </c>
      <c r="E46" s="7" t="s">
        <v>76</v>
      </c>
      <c r="F46" s="7" t="s">
        <v>67</v>
      </c>
      <c r="G46" s="7"/>
      <c r="H46" s="7"/>
      <c r="I46" s="7" t="s">
        <v>298</v>
      </c>
      <c r="J46" s="7" t="s">
        <v>308</v>
      </c>
    </row>
    <row r="47" customFormat="false" ht="15" hidden="false" customHeight="true" outlineLevel="0" collapsed="false">
      <c r="A47" s="7" t="s">
        <v>309</v>
      </c>
      <c r="B47" s="7" t="s">
        <v>310</v>
      </c>
      <c r="C47" s="7" t="s">
        <v>129</v>
      </c>
      <c r="D47" s="7" t="s">
        <v>133</v>
      </c>
      <c r="E47" s="7" t="s">
        <v>76</v>
      </c>
      <c r="F47" s="7" t="s">
        <v>67</v>
      </c>
      <c r="G47" s="7"/>
      <c r="H47" s="7"/>
      <c r="I47" s="7" t="s">
        <v>298</v>
      </c>
      <c r="J47" s="7" t="s">
        <v>311</v>
      </c>
    </row>
    <row r="48" customFormat="false" ht="15" hidden="false" customHeight="true" outlineLevel="0" collapsed="false">
      <c r="A48" s="7" t="s">
        <v>312</v>
      </c>
      <c r="B48" s="7" t="s">
        <v>313</v>
      </c>
      <c r="C48" s="7" t="s">
        <v>129</v>
      </c>
      <c r="D48" s="7" t="s">
        <v>76</v>
      </c>
      <c r="E48" s="7" t="s">
        <v>76</v>
      </c>
      <c r="F48" s="7" t="s">
        <v>67</v>
      </c>
      <c r="G48" s="7"/>
      <c r="H48" s="7"/>
      <c r="I48" s="7" t="s">
        <v>298</v>
      </c>
      <c r="J48" s="7" t="s">
        <v>314</v>
      </c>
    </row>
    <row r="49" customFormat="false" ht="15" hidden="false" customHeight="true" outlineLevel="0" collapsed="false">
      <c r="A49" s="7" t="s">
        <v>315</v>
      </c>
      <c r="B49" s="7" t="s">
        <v>316</v>
      </c>
      <c r="C49" s="7" t="s">
        <v>129</v>
      </c>
      <c r="D49" s="7" t="s">
        <v>76</v>
      </c>
      <c r="E49" s="7" t="s">
        <v>76</v>
      </c>
      <c r="F49" s="7" t="s">
        <v>67</v>
      </c>
      <c r="G49" s="7"/>
      <c r="H49" s="7"/>
      <c r="I49" s="7" t="s">
        <v>298</v>
      </c>
      <c r="J49" s="7" t="s">
        <v>317</v>
      </c>
    </row>
    <row r="50" customFormat="false" ht="15" hidden="false" customHeight="true" outlineLevel="0" collapsed="false">
      <c r="A50" s="7" t="s">
        <v>318</v>
      </c>
      <c r="B50" s="7" t="s">
        <v>319</v>
      </c>
      <c r="C50" s="7" t="s">
        <v>111</v>
      </c>
      <c r="D50" s="7" t="s">
        <v>81</v>
      </c>
      <c r="E50" s="7" t="s">
        <v>76</v>
      </c>
      <c r="F50" s="7" t="s">
        <v>97</v>
      </c>
      <c r="G50" s="7"/>
      <c r="H50" s="7" t="s">
        <v>320</v>
      </c>
      <c r="I50" s="7" t="s">
        <v>321</v>
      </c>
      <c r="J50" s="7" t="s">
        <v>322</v>
      </c>
    </row>
    <row r="51" customFormat="false" ht="15" hidden="false" customHeight="true" outlineLevel="0" collapsed="false">
      <c r="A51" s="7" t="s">
        <v>323</v>
      </c>
      <c r="B51" s="7" t="s">
        <v>324</v>
      </c>
      <c r="C51" s="7" t="s">
        <v>111</v>
      </c>
      <c r="D51" s="7" t="s">
        <v>66</v>
      </c>
      <c r="E51" s="7" t="s">
        <v>109</v>
      </c>
      <c r="F51" s="7" t="s">
        <v>67</v>
      </c>
      <c r="G51" s="7"/>
      <c r="H51" s="7" t="s">
        <v>325</v>
      </c>
      <c r="I51" s="7" t="s">
        <v>326</v>
      </c>
      <c r="J51" s="7" t="s">
        <v>322</v>
      </c>
    </row>
    <row r="52" customFormat="false" ht="15" hidden="false" customHeight="true" outlineLevel="0" collapsed="false">
      <c r="A52" s="7" t="s">
        <v>327</v>
      </c>
      <c r="B52" s="7" t="s">
        <v>328</v>
      </c>
      <c r="C52" s="7" t="s">
        <v>111</v>
      </c>
      <c r="D52" s="7" t="s">
        <v>109</v>
      </c>
      <c r="E52" s="7" t="s">
        <v>76</v>
      </c>
      <c r="F52" s="7" t="s">
        <v>67</v>
      </c>
      <c r="G52" s="7"/>
      <c r="H52" s="7" t="s">
        <v>329</v>
      </c>
      <c r="I52" s="7" t="s">
        <v>330</v>
      </c>
      <c r="J52" s="7" t="s">
        <v>322</v>
      </c>
    </row>
    <row r="53" customFormat="false" ht="15" hidden="false" customHeight="true" outlineLevel="0" collapsed="false">
      <c r="A53" s="7" t="s">
        <v>331</v>
      </c>
      <c r="B53" s="7" t="s">
        <v>332</v>
      </c>
      <c r="C53" s="7" t="s">
        <v>111</v>
      </c>
      <c r="D53" s="7" t="s">
        <v>120</v>
      </c>
      <c r="E53" s="7" t="s">
        <v>76</v>
      </c>
      <c r="F53" s="7" t="s">
        <v>67</v>
      </c>
      <c r="G53" s="7"/>
      <c r="H53" s="7" t="s">
        <v>333</v>
      </c>
      <c r="I53" s="7" t="s">
        <v>334</v>
      </c>
      <c r="J53" s="7" t="s">
        <v>322</v>
      </c>
    </row>
    <row r="54" customFormat="false" ht="15" hidden="false" customHeight="true" outlineLevel="0" collapsed="false">
      <c r="A54" s="7" t="s">
        <v>335</v>
      </c>
      <c r="B54" s="7" t="s">
        <v>336</v>
      </c>
      <c r="C54" s="7" t="s">
        <v>111</v>
      </c>
      <c r="D54" s="7" t="s">
        <v>96</v>
      </c>
      <c r="E54" s="7" t="s">
        <v>120</v>
      </c>
      <c r="F54" s="7" t="s">
        <v>67</v>
      </c>
      <c r="G54" s="7"/>
      <c r="H54" s="7" t="s">
        <v>337</v>
      </c>
      <c r="I54" s="7" t="s">
        <v>338</v>
      </c>
      <c r="J54" s="7" t="s">
        <v>322</v>
      </c>
    </row>
    <row r="55" customFormat="false" ht="15" hidden="false" customHeight="true" outlineLevel="0" collapsed="false">
      <c r="A55" s="7" t="s">
        <v>339</v>
      </c>
      <c r="B55" s="7" t="s">
        <v>340</v>
      </c>
      <c r="C55" s="7" t="s">
        <v>111</v>
      </c>
      <c r="D55" s="7" t="s">
        <v>96</v>
      </c>
      <c r="E55" s="7" t="s">
        <v>76</v>
      </c>
      <c r="F55" s="7" t="s">
        <v>110</v>
      </c>
      <c r="G55" s="7"/>
      <c r="H55" s="7" t="s">
        <v>341</v>
      </c>
      <c r="I55" s="7" t="s">
        <v>338</v>
      </c>
      <c r="J55" s="7" t="s">
        <v>322</v>
      </c>
    </row>
    <row r="56" customFormat="false" ht="15" hidden="false" customHeight="true" outlineLevel="0" collapsed="false">
      <c r="A56" s="7" t="s">
        <v>342</v>
      </c>
      <c r="B56" s="7" t="s">
        <v>343</v>
      </c>
      <c r="C56" s="7" t="s">
        <v>111</v>
      </c>
      <c r="D56" s="7" t="s">
        <v>128</v>
      </c>
      <c r="E56" s="7" t="s">
        <v>76</v>
      </c>
      <c r="F56" s="7" t="s">
        <v>110</v>
      </c>
      <c r="G56" s="7"/>
      <c r="H56" s="7" t="s">
        <v>344</v>
      </c>
      <c r="I56" s="7" t="s">
        <v>345</v>
      </c>
      <c r="J56" s="7" t="s">
        <v>322</v>
      </c>
    </row>
    <row r="58" customFormat="false" ht="15" hidden="false" customHeight="true" outlineLevel="0" collapsed="false">
      <c r="A58" s="10" t="s">
        <v>346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9" min="2" style="1" width="8"/>
    <col collapsed="false" customWidth="true" hidden="false" outlineLevel="0" max="10" min="10" style="1" width="13"/>
  </cols>
  <sheetData>
    <row r="1" customFormat="false" ht="30" hidden="false" customHeight="true" outlineLevel="0" collapsed="false">
      <c r="A1" s="4" t="s">
        <v>347</v>
      </c>
      <c r="B1" s="4" t="s">
        <v>348</v>
      </c>
      <c r="C1" s="4" t="s">
        <v>349</v>
      </c>
      <c r="D1" s="4" t="s">
        <v>350</v>
      </c>
      <c r="E1" s="4" t="s">
        <v>351</v>
      </c>
      <c r="F1" s="4" t="s">
        <v>352</v>
      </c>
      <c r="G1" s="4" t="s">
        <v>353</v>
      </c>
      <c r="H1" s="4" t="s">
        <v>354</v>
      </c>
      <c r="I1" s="4" t="s">
        <v>355</v>
      </c>
      <c r="J1" s="4" t="s">
        <v>356</v>
      </c>
    </row>
    <row r="2" customFormat="false" ht="15" hidden="false" customHeight="true" outlineLevel="0" collapsed="false">
      <c r="A2" s="7" t="s">
        <v>357</v>
      </c>
      <c r="B2" s="7" t="n">
        <v>55</v>
      </c>
      <c r="C2" s="7" t="n">
        <v>55</v>
      </c>
      <c r="D2" s="7" t="n">
        <v>5</v>
      </c>
      <c r="E2" s="7" t="n">
        <v>40</v>
      </c>
      <c r="F2" s="7" t="n">
        <v>40</v>
      </c>
      <c r="G2" s="7" t="n">
        <v>35</v>
      </c>
      <c r="H2" s="7" t="n">
        <v>40</v>
      </c>
      <c r="I2" s="7" t="n">
        <v>20</v>
      </c>
      <c r="J2" s="7" t="n">
        <f aca="false">SUM(B2:I2)</f>
        <v>290</v>
      </c>
    </row>
    <row r="3" customFormat="false" ht="15" hidden="false" customHeight="true" outlineLevel="0" collapsed="false">
      <c r="A3" s="7" t="s">
        <v>358</v>
      </c>
      <c r="B3" s="7" t="n">
        <v>60</v>
      </c>
      <c r="C3" s="7" t="n">
        <v>50</v>
      </c>
      <c r="D3" s="7" t="n">
        <v>5</v>
      </c>
      <c r="E3" s="7" t="n">
        <v>35</v>
      </c>
      <c r="F3" s="7" t="n">
        <v>25</v>
      </c>
      <c r="G3" s="7" t="n">
        <v>30</v>
      </c>
      <c r="H3" s="7" t="n">
        <v>60</v>
      </c>
      <c r="I3" s="7" t="n">
        <v>25</v>
      </c>
      <c r="J3" s="7" t="n">
        <f aca="false">SUM(B3:I3)</f>
        <v>290</v>
      </c>
    </row>
    <row r="4" customFormat="false" ht="15" hidden="false" customHeight="true" outlineLevel="0" collapsed="false">
      <c r="A4" s="7" t="s">
        <v>359</v>
      </c>
      <c r="B4" s="7" t="n">
        <v>50</v>
      </c>
      <c r="C4" s="7" t="n">
        <v>45</v>
      </c>
      <c r="D4" s="7" t="n">
        <v>10</v>
      </c>
      <c r="E4" s="7" t="n">
        <v>45</v>
      </c>
      <c r="F4" s="7" t="n">
        <v>50</v>
      </c>
      <c r="G4" s="7" t="n">
        <v>40</v>
      </c>
      <c r="H4" s="7" t="n">
        <v>35</v>
      </c>
      <c r="I4" s="7" t="n">
        <v>25</v>
      </c>
      <c r="J4" s="7" t="n">
        <f aca="false">SUM(B4:I4)</f>
        <v>300</v>
      </c>
    </row>
    <row r="5" customFormat="false" ht="15" hidden="false" customHeight="true" outlineLevel="0" collapsed="false">
      <c r="A5" s="7" t="s">
        <v>360</v>
      </c>
      <c r="B5" s="7" t="n">
        <v>45</v>
      </c>
      <c r="C5" s="7" t="n">
        <v>40</v>
      </c>
      <c r="D5" s="7" t="n">
        <v>15</v>
      </c>
      <c r="E5" s="7" t="n">
        <v>50</v>
      </c>
      <c r="F5" s="7" t="n">
        <v>60</v>
      </c>
      <c r="G5" s="7" t="n">
        <v>40</v>
      </c>
      <c r="H5" s="7" t="n">
        <v>25</v>
      </c>
      <c r="I5" s="7" t="n">
        <v>30</v>
      </c>
      <c r="J5" s="7" t="n">
        <f aca="false">SUM(B5:I5)</f>
        <v>305</v>
      </c>
    </row>
    <row r="6" customFormat="false" ht="15" hidden="false" customHeight="true" outlineLevel="0" collapsed="false">
      <c r="A6" s="7" t="s">
        <v>361</v>
      </c>
      <c r="B6" s="7" t="n">
        <v>45</v>
      </c>
      <c r="C6" s="7" t="n">
        <v>45</v>
      </c>
      <c r="D6" s="7" t="n">
        <v>10</v>
      </c>
      <c r="E6" s="7" t="n">
        <v>55</v>
      </c>
      <c r="F6" s="7" t="n">
        <v>50</v>
      </c>
      <c r="G6" s="7" t="n">
        <v>40</v>
      </c>
      <c r="H6" s="7" t="n">
        <v>30</v>
      </c>
      <c r="I6" s="7" t="n">
        <v>25</v>
      </c>
      <c r="J6" s="7" t="n">
        <f aca="false">SUM(B6:I6)</f>
        <v>300</v>
      </c>
    </row>
    <row r="7" customFormat="false" ht="15" hidden="false" customHeight="true" outlineLevel="0" collapsed="false">
      <c r="A7" s="7" t="s">
        <v>362</v>
      </c>
      <c r="B7" s="7" t="n">
        <v>40</v>
      </c>
      <c r="C7" s="7" t="n">
        <v>10</v>
      </c>
      <c r="D7" s="7" t="n">
        <v>55</v>
      </c>
      <c r="E7" s="7" t="n">
        <v>45</v>
      </c>
      <c r="F7" s="7" t="n">
        <v>45</v>
      </c>
      <c r="G7" s="7" t="n">
        <v>35</v>
      </c>
      <c r="H7" s="7" t="n">
        <v>25</v>
      </c>
      <c r="I7" s="7" t="n">
        <v>45</v>
      </c>
      <c r="J7" s="7" t="n">
        <f aca="false">SUM(B7:I7)</f>
        <v>300</v>
      </c>
    </row>
    <row r="8" customFormat="false" ht="15" hidden="false" customHeight="true" outlineLevel="0" collapsed="false">
      <c r="A8" s="7" t="s">
        <v>363</v>
      </c>
      <c r="B8" s="7" t="n">
        <v>40</v>
      </c>
      <c r="C8" s="7" t="n">
        <v>15</v>
      </c>
      <c r="D8" s="7" t="n">
        <v>50</v>
      </c>
      <c r="E8" s="7" t="n">
        <v>40</v>
      </c>
      <c r="F8" s="7" t="n">
        <v>45</v>
      </c>
      <c r="G8" s="7" t="n">
        <v>45</v>
      </c>
      <c r="H8" s="7" t="n">
        <v>25</v>
      </c>
      <c r="I8" s="7" t="n">
        <v>50</v>
      </c>
      <c r="J8" s="7" t="n">
        <f aca="false">SUM(B8:I8)</f>
        <v>310</v>
      </c>
    </row>
    <row r="9" customFormat="false" ht="15" hidden="false" customHeight="true" outlineLevel="0" collapsed="false">
      <c r="A9" s="7" t="s">
        <v>364</v>
      </c>
      <c r="B9" s="7" t="n">
        <v>35</v>
      </c>
      <c r="C9" s="7" t="n">
        <v>25</v>
      </c>
      <c r="D9" s="7" t="n">
        <v>30</v>
      </c>
      <c r="E9" s="7" t="n">
        <v>45</v>
      </c>
      <c r="F9" s="7" t="n">
        <v>50</v>
      </c>
      <c r="G9" s="7" t="n">
        <v>75</v>
      </c>
      <c r="H9" s="7" t="n">
        <v>20</v>
      </c>
      <c r="I9" s="7" t="n">
        <v>35</v>
      </c>
      <c r="J9" s="7" t="n">
        <f aca="false">SUM(B9:I9)</f>
        <v>315</v>
      </c>
    </row>
    <row r="10" customFormat="false" ht="15" hidden="false" customHeight="true" outlineLevel="0" collapsed="false">
      <c r="A10" s="7" t="s">
        <v>365</v>
      </c>
      <c r="B10" s="7" t="n">
        <v>20</v>
      </c>
      <c r="C10" s="7" t="n">
        <v>20</v>
      </c>
      <c r="D10" s="7" t="n">
        <v>15</v>
      </c>
      <c r="E10" s="7" t="n">
        <v>20</v>
      </c>
      <c r="F10" s="7" t="n">
        <v>20</v>
      </c>
      <c r="G10" s="7" t="n">
        <v>20</v>
      </c>
      <c r="H10" s="7" t="n">
        <v>20</v>
      </c>
      <c r="I10" s="7" t="n">
        <v>15</v>
      </c>
      <c r="J10" s="7" t="n">
        <f aca="false">SUM(B10:I10)</f>
        <v>150</v>
      </c>
    </row>
    <row r="11" customFormat="false" ht="15" hidden="false" customHeight="true" outlineLevel="0" collapsed="false">
      <c r="A11" s="7" t="s">
        <v>366</v>
      </c>
      <c r="B11" s="7" t="n">
        <v>45</v>
      </c>
      <c r="C11" s="7" t="n">
        <v>40</v>
      </c>
      <c r="D11" s="7" t="n">
        <v>30</v>
      </c>
      <c r="E11" s="7" t="n">
        <v>50</v>
      </c>
      <c r="F11" s="7" t="n">
        <v>55</v>
      </c>
      <c r="G11" s="7" t="n">
        <v>45</v>
      </c>
      <c r="H11" s="7" t="n">
        <v>30</v>
      </c>
      <c r="I11" s="7" t="n">
        <v>35</v>
      </c>
      <c r="J11" s="7" t="n">
        <f aca="false">SUM(B11:I11)</f>
        <v>330</v>
      </c>
    </row>
    <row r="13" customFormat="false" ht="15" hidden="false" customHeight="true" outlineLevel="0" collapsed="false">
      <c r="A13" s="10"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3" min="2" style="1" width="12"/>
    <col collapsed="false" customWidth="true" hidden="false" outlineLevel="0" max="4" min="4" style="1" width="10"/>
    <col collapsed="false" customWidth="true" hidden="false" outlineLevel="0" max="5" min="5" style="1" width="15"/>
    <col collapsed="false" customWidth="true" hidden="false" outlineLevel="0" max="6" min="6" style="1" width="26"/>
    <col collapsed="false" customWidth="true" hidden="false" outlineLevel="0" max="8" min="7" style="1" width="16"/>
    <col collapsed="false" customWidth="true" hidden="false" outlineLevel="0" max="10" min="9" style="1" width="11"/>
    <col collapsed="false" customWidth="true" hidden="false" outlineLevel="0" max="11" min="11" style="1" width="46"/>
  </cols>
  <sheetData>
    <row r="1" customFormat="false" ht="30" hidden="false" customHeight="true" outlineLevel="0" collapsed="false">
      <c r="A1" s="4" t="s">
        <v>368</v>
      </c>
      <c r="B1" s="4" t="s">
        <v>189</v>
      </c>
      <c r="C1" s="4" t="s">
        <v>369</v>
      </c>
      <c r="D1" s="4" t="s">
        <v>48</v>
      </c>
      <c r="E1" s="4" t="s">
        <v>370</v>
      </c>
      <c r="F1" s="4" t="s">
        <v>371</v>
      </c>
      <c r="G1" s="4" t="s">
        <v>372</v>
      </c>
      <c r="H1" s="4" t="s">
        <v>373</v>
      </c>
      <c r="I1" s="4" t="s">
        <v>374</v>
      </c>
      <c r="J1" s="4" t="s">
        <v>375</v>
      </c>
      <c r="K1" s="4" t="s">
        <v>151</v>
      </c>
    </row>
    <row r="2" customFormat="false" ht="15" hidden="false" customHeight="true" outlineLevel="0" collapsed="false">
      <c r="A2" s="7" t="s">
        <v>376</v>
      </c>
      <c r="B2" s="7" t="s">
        <v>377</v>
      </c>
      <c r="C2" s="7" t="s">
        <v>71</v>
      </c>
      <c r="D2" s="7" t="s">
        <v>93</v>
      </c>
      <c r="E2" s="7" t="s">
        <v>378</v>
      </c>
      <c r="F2" s="7" t="s">
        <v>379</v>
      </c>
      <c r="G2" s="7" t="s">
        <v>296</v>
      </c>
      <c r="H2" s="7" t="s">
        <v>366</v>
      </c>
      <c r="I2" s="7" t="s">
        <v>380</v>
      </c>
      <c r="J2" s="7" t="s">
        <v>380</v>
      </c>
      <c r="K2" s="7" t="s">
        <v>381</v>
      </c>
    </row>
    <row r="3" customFormat="false" ht="15" hidden="false" customHeight="true" outlineLevel="0" collapsed="false">
      <c r="A3" s="7" t="s">
        <v>382</v>
      </c>
      <c r="B3" s="7" t="s">
        <v>383</v>
      </c>
      <c r="C3" s="7" t="s">
        <v>71</v>
      </c>
      <c r="D3" s="7" t="s">
        <v>63</v>
      </c>
      <c r="E3" s="7" t="s">
        <v>384</v>
      </c>
      <c r="F3" s="7" t="s">
        <v>385</v>
      </c>
      <c r="G3" s="7" t="s">
        <v>204</v>
      </c>
      <c r="H3" s="7" t="s">
        <v>357</v>
      </c>
      <c r="I3" s="7" t="s">
        <v>386</v>
      </c>
      <c r="J3" s="7" t="s">
        <v>380</v>
      </c>
      <c r="K3" s="7" t="s">
        <v>387</v>
      </c>
    </row>
    <row r="4" customFormat="false" ht="23.25" hidden="false" customHeight="true" outlineLevel="0" collapsed="false">
      <c r="A4" s="7" t="s">
        <v>388</v>
      </c>
      <c r="B4" s="7" t="s">
        <v>389</v>
      </c>
      <c r="C4" s="7" t="s">
        <v>71</v>
      </c>
      <c r="D4" s="7" t="s">
        <v>63</v>
      </c>
      <c r="E4" s="7" t="s">
        <v>390</v>
      </c>
      <c r="F4" s="7" t="s">
        <v>391</v>
      </c>
      <c r="G4" s="7" t="s">
        <v>202</v>
      </c>
      <c r="H4" s="7" t="s">
        <v>358</v>
      </c>
      <c r="I4" s="7" t="s">
        <v>380</v>
      </c>
      <c r="J4" s="7" t="s">
        <v>386</v>
      </c>
      <c r="K4" s="7" t="s">
        <v>392</v>
      </c>
    </row>
    <row r="5" customFormat="false" ht="15" hidden="false" customHeight="true" outlineLevel="0" collapsed="false">
      <c r="A5" s="7" t="s">
        <v>393</v>
      </c>
      <c r="B5" s="7" t="s">
        <v>394</v>
      </c>
      <c r="C5" s="7" t="s">
        <v>71</v>
      </c>
      <c r="D5" s="7" t="s">
        <v>63</v>
      </c>
      <c r="E5" s="7" t="s">
        <v>390</v>
      </c>
      <c r="F5" s="7" t="s">
        <v>391</v>
      </c>
      <c r="G5" s="7" t="s">
        <v>210</v>
      </c>
      <c r="H5" s="7" t="s">
        <v>362</v>
      </c>
      <c r="I5" s="7" t="s">
        <v>380</v>
      </c>
      <c r="J5" s="7" t="s">
        <v>386</v>
      </c>
      <c r="K5" s="7" t="s">
        <v>395</v>
      </c>
    </row>
    <row r="6" customFormat="false" ht="15" hidden="false" customHeight="true" outlineLevel="0" collapsed="false">
      <c r="A6" s="7" t="s">
        <v>396</v>
      </c>
      <c r="B6" s="7" t="s">
        <v>397</v>
      </c>
      <c r="C6" s="7" t="s">
        <v>71</v>
      </c>
      <c r="D6" s="7" t="s">
        <v>63</v>
      </c>
      <c r="E6" s="7" t="s">
        <v>378</v>
      </c>
      <c r="F6" s="7" t="s">
        <v>391</v>
      </c>
      <c r="G6" s="7" t="s">
        <v>199</v>
      </c>
      <c r="H6" s="7" t="s">
        <v>359</v>
      </c>
      <c r="I6" s="7" t="s">
        <v>380</v>
      </c>
      <c r="J6" s="7" t="s">
        <v>386</v>
      </c>
      <c r="K6" s="7" t="s">
        <v>398</v>
      </c>
    </row>
    <row r="7" customFormat="false" ht="15" hidden="false" customHeight="true" outlineLevel="0" collapsed="false">
      <c r="A7" s="7" t="s">
        <v>399</v>
      </c>
      <c r="B7" s="7" t="s">
        <v>400</v>
      </c>
      <c r="C7" s="7" t="s">
        <v>71</v>
      </c>
      <c r="D7" s="7" t="s">
        <v>63</v>
      </c>
      <c r="E7" s="7" t="s">
        <v>390</v>
      </c>
      <c r="F7" s="7" t="s">
        <v>401</v>
      </c>
      <c r="G7" s="7" t="s">
        <v>202</v>
      </c>
      <c r="H7" s="7" t="s">
        <v>360</v>
      </c>
      <c r="I7" s="7" t="s">
        <v>380</v>
      </c>
      <c r="J7" s="7" t="s">
        <v>386</v>
      </c>
      <c r="K7" s="7" t="s">
        <v>402</v>
      </c>
    </row>
    <row r="8" customFormat="false" ht="15" hidden="false" customHeight="true" outlineLevel="0" collapsed="false">
      <c r="A8" s="7" t="s">
        <v>403</v>
      </c>
      <c r="B8" s="7" t="s">
        <v>404</v>
      </c>
      <c r="C8" s="7" t="s">
        <v>71</v>
      </c>
      <c r="D8" s="7" t="s">
        <v>63</v>
      </c>
      <c r="E8" s="7" t="s">
        <v>384</v>
      </c>
      <c r="F8" s="7" t="s">
        <v>391</v>
      </c>
      <c r="G8" s="7" t="s">
        <v>206</v>
      </c>
      <c r="H8" s="7" t="s">
        <v>361</v>
      </c>
      <c r="I8" s="7" t="s">
        <v>380</v>
      </c>
      <c r="J8" s="7" t="s">
        <v>380</v>
      </c>
      <c r="K8" s="7" t="s">
        <v>405</v>
      </c>
    </row>
    <row r="9" customFormat="false" ht="15" hidden="false" customHeight="true" outlineLevel="0" collapsed="false">
      <c r="A9" s="7" t="s">
        <v>406</v>
      </c>
      <c r="B9" s="7" t="s">
        <v>407</v>
      </c>
      <c r="C9" s="7" t="s">
        <v>71</v>
      </c>
      <c r="D9" s="7" t="s">
        <v>78</v>
      </c>
      <c r="E9" s="7" t="s">
        <v>408</v>
      </c>
      <c r="F9" s="7" t="s">
        <v>409</v>
      </c>
      <c r="G9" s="7" t="s">
        <v>212</v>
      </c>
      <c r="H9" s="7" t="s">
        <v>363</v>
      </c>
      <c r="I9" s="7" t="s">
        <v>386</v>
      </c>
      <c r="J9" s="7" t="s">
        <v>380</v>
      </c>
      <c r="K9" s="7" t="s">
        <v>410</v>
      </c>
    </row>
    <row r="10" customFormat="false" ht="15" hidden="false" customHeight="true" outlineLevel="0" collapsed="false">
      <c r="A10" s="7" t="s">
        <v>411</v>
      </c>
      <c r="B10" s="7" t="s">
        <v>412</v>
      </c>
      <c r="C10" s="7" t="s">
        <v>71</v>
      </c>
      <c r="D10" s="7" t="s">
        <v>78</v>
      </c>
      <c r="E10" s="7" t="s">
        <v>408</v>
      </c>
      <c r="F10" s="7" t="s">
        <v>391</v>
      </c>
      <c r="G10" s="7" t="s">
        <v>202</v>
      </c>
      <c r="H10" s="7" t="s">
        <v>358</v>
      </c>
      <c r="I10" s="7" t="s">
        <v>380</v>
      </c>
      <c r="J10" s="7" t="s">
        <v>386</v>
      </c>
      <c r="K10" s="7" t="s">
        <v>413</v>
      </c>
    </row>
    <row r="11" customFormat="false" ht="15" hidden="false" customHeight="true" outlineLevel="0" collapsed="false">
      <c r="A11" s="7" t="s">
        <v>414</v>
      </c>
      <c r="B11" s="7" t="s">
        <v>415</v>
      </c>
      <c r="C11" s="7" t="s">
        <v>71</v>
      </c>
      <c r="D11" s="7" t="s">
        <v>78</v>
      </c>
      <c r="E11" s="7" t="s">
        <v>416</v>
      </c>
      <c r="F11" s="7" t="s">
        <v>391</v>
      </c>
      <c r="G11" s="7" t="s">
        <v>202</v>
      </c>
      <c r="H11" s="7" t="s">
        <v>360</v>
      </c>
      <c r="I11" s="7" t="s">
        <v>380</v>
      </c>
      <c r="J11" s="7" t="s">
        <v>386</v>
      </c>
      <c r="K11" s="7" t="s">
        <v>417</v>
      </c>
    </row>
    <row r="12" customFormat="false" ht="15" hidden="false" customHeight="true" outlineLevel="0" collapsed="false">
      <c r="A12" s="7" t="s">
        <v>418</v>
      </c>
      <c r="B12" s="7" t="s">
        <v>419</v>
      </c>
      <c r="C12" s="7" t="s">
        <v>71</v>
      </c>
      <c r="D12" s="7" t="s">
        <v>78</v>
      </c>
      <c r="E12" s="7" t="s">
        <v>416</v>
      </c>
      <c r="F12" s="7" t="s">
        <v>391</v>
      </c>
      <c r="G12" s="7" t="s">
        <v>303</v>
      </c>
      <c r="H12" s="7" t="s">
        <v>361</v>
      </c>
      <c r="I12" s="7" t="s">
        <v>380</v>
      </c>
      <c r="J12" s="7" t="s">
        <v>386</v>
      </c>
      <c r="K12" s="7" t="s">
        <v>420</v>
      </c>
    </row>
    <row r="13" customFormat="false" ht="15" hidden="false" customHeight="true" outlineLevel="0" collapsed="false">
      <c r="A13" s="7" t="s">
        <v>421</v>
      </c>
      <c r="B13" s="7" t="s">
        <v>422</v>
      </c>
      <c r="C13" s="7" t="s">
        <v>71</v>
      </c>
      <c r="D13" s="7" t="s">
        <v>78</v>
      </c>
      <c r="E13" s="7" t="s">
        <v>416</v>
      </c>
      <c r="F13" s="7" t="s">
        <v>391</v>
      </c>
      <c r="G13" s="7" t="s">
        <v>312</v>
      </c>
      <c r="H13" s="7" t="s">
        <v>364</v>
      </c>
      <c r="I13" s="7" t="s">
        <v>380</v>
      </c>
      <c r="J13" s="7" t="s">
        <v>380</v>
      </c>
      <c r="K13" s="7" t="s">
        <v>423</v>
      </c>
    </row>
    <row r="14" customFormat="false" ht="15" hidden="false" customHeight="true" outlineLevel="0" collapsed="false">
      <c r="A14" s="7" t="s">
        <v>424</v>
      </c>
      <c r="B14" s="7" t="s">
        <v>425</v>
      </c>
      <c r="C14" s="7" t="s">
        <v>71</v>
      </c>
      <c r="D14" s="7" t="s">
        <v>78</v>
      </c>
      <c r="E14" s="7" t="s">
        <v>426</v>
      </c>
      <c r="F14" s="7" t="s">
        <v>391</v>
      </c>
      <c r="G14" s="7" t="s">
        <v>212</v>
      </c>
      <c r="H14" s="7" t="s">
        <v>363</v>
      </c>
      <c r="I14" s="7" t="s">
        <v>380</v>
      </c>
      <c r="J14" s="7" t="s">
        <v>386</v>
      </c>
      <c r="K14" s="7" t="s">
        <v>427</v>
      </c>
    </row>
    <row r="15" customFormat="false" ht="23.25" hidden="false" customHeight="true" outlineLevel="0" collapsed="false">
      <c r="A15" s="7" t="s">
        <v>428</v>
      </c>
      <c r="B15" s="7" t="s">
        <v>429</v>
      </c>
      <c r="C15" s="7" t="s">
        <v>71</v>
      </c>
      <c r="D15" s="7" t="s">
        <v>93</v>
      </c>
      <c r="E15" s="7" t="s">
        <v>378</v>
      </c>
      <c r="F15" s="7" t="s">
        <v>430</v>
      </c>
      <c r="G15" s="7" t="s">
        <v>300</v>
      </c>
      <c r="H15" s="7" t="s">
        <v>364</v>
      </c>
      <c r="I15" s="7" t="s">
        <v>380</v>
      </c>
      <c r="J15" s="7" t="s">
        <v>380</v>
      </c>
      <c r="K15" s="7" t="s">
        <v>431</v>
      </c>
    </row>
    <row r="16" customFormat="false" ht="23.25" hidden="false" customHeight="true" outlineLevel="0" collapsed="false">
      <c r="A16" s="7" t="s">
        <v>432</v>
      </c>
      <c r="B16" s="7" t="s">
        <v>433</v>
      </c>
      <c r="C16" s="7" t="s">
        <v>86</v>
      </c>
      <c r="D16" s="7" t="s">
        <v>63</v>
      </c>
      <c r="E16" s="7" t="s">
        <v>378</v>
      </c>
      <c r="F16" s="7" t="s">
        <v>379</v>
      </c>
      <c r="G16" s="7" t="s">
        <v>229</v>
      </c>
      <c r="H16" s="7" t="s">
        <v>365</v>
      </c>
      <c r="I16" s="7" t="s">
        <v>380</v>
      </c>
      <c r="J16" s="7" t="s">
        <v>380</v>
      </c>
      <c r="K16" s="7" t="s">
        <v>434</v>
      </c>
    </row>
    <row r="17" customFormat="false" ht="15" hidden="false" customHeight="true" outlineLevel="0" collapsed="false">
      <c r="A17" s="7" t="s">
        <v>435</v>
      </c>
      <c r="B17" s="7" t="s">
        <v>436</v>
      </c>
      <c r="C17" s="7" t="s">
        <v>86</v>
      </c>
      <c r="D17" s="7" t="s">
        <v>78</v>
      </c>
      <c r="E17" s="7" t="s">
        <v>408</v>
      </c>
      <c r="F17" s="7" t="s">
        <v>379</v>
      </c>
      <c r="G17" s="7" t="s">
        <v>238</v>
      </c>
      <c r="H17" s="7" t="s">
        <v>365</v>
      </c>
      <c r="I17" s="7" t="s">
        <v>380</v>
      </c>
      <c r="J17" s="7" t="s">
        <v>380</v>
      </c>
      <c r="K17" s="7" t="s">
        <v>437</v>
      </c>
    </row>
    <row r="18" customFormat="false" ht="135.8" hidden="false" customHeight="false" outlineLevel="0" collapsed="false">
      <c r="A18" s="7" t="s">
        <v>438</v>
      </c>
      <c r="B18" s="7" t="s">
        <v>439</v>
      </c>
      <c r="C18" s="7" t="s">
        <v>71</v>
      </c>
      <c r="D18" s="7" t="s">
        <v>93</v>
      </c>
      <c r="E18" s="7" t="s">
        <v>440</v>
      </c>
      <c r="F18" s="7" t="s">
        <v>441</v>
      </c>
      <c r="G18" s="7" t="s">
        <v>208</v>
      </c>
      <c r="H18" s="7" t="s">
        <v>357</v>
      </c>
      <c r="I18" s="7" t="s">
        <v>380</v>
      </c>
      <c r="J18" s="7" t="s">
        <v>380</v>
      </c>
      <c r="K18" s="7" t="s">
        <v>442</v>
      </c>
    </row>
    <row r="19" customFormat="false" ht="15" hidden="false" customHeight="true" outlineLevel="0" collapsed="false">
      <c r="A19" s="7" t="s">
        <v>443</v>
      </c>
      <c r="B19" s="7" t="s">
        <v>444</v>
      </c>
      <c r="C19" s="7" t="s">
        <v>71</v>
      </c>
      <c r="D19" s="7" t="s">
        <v>63</v>
      </c>
      <c r="E19" s="7" t="s">
        <v>390</v>
      </c>
      <c r="F19" s="7" t="s">
        <v>445</v>
      </c>
      <c r="G19" s="7" t="s">
        <v>286</v>
      </c>
      <c r="H19" s="7" t="s">
        <v>364</v>
      </c>
      <c r="I19" s="7" t="s">
        <v>380</v>
      </c>
      <c r="J19" s="7" t="s">
        <v>380</v>
      </c>
      <c r="K19" s="7" t="s">
        <v>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4" min="3" style="1" width="8"/>
    <col collapsed="false" customWidth="true" hidden="false" outlineLevel="0" max="5" min="5" style="1" width="14"/>
    <col collapsed="false" customWidth="true" hidden="false" outlineLevel="0" max="6" min="6" style="1" width="10"/>
    <col collapsed="false" customWidth="true" hidden="false" outlineLevel="0" max="7" min="7" style="1" width="40"/>
    <col collapsed="false" customWidth="true" hidden="false" outlineLevel="0" max="8" min="8" style="1" width="12"/>
    <col collapsed="false" customWidth="true" hidden="false" outlineLevel="0" max="9" min="9" style="1" width="52"/>
    <col collapsed="false" customWidth="true" hidden="false" outlineLevel="0" max="10" min="10" style="1" width="12"/>
    <col collapsed="false" customWidth="true" hidden="false" outlineLevel="0" max="11" min="11" style="1" width="22"/>
    <col collapsed="false" customWidth="true" hidden="false" outlineLevel="0" max="12" min="12" style="1" width="14"/>
    <col collapsed="false" customWidth="true" hidden="false" outlineLevel="0" max="14" min="13" style="1" width="16"/>
    <col collapsed="false" customWidth="true" hidden="false" outlineLevel="0" max="15" min="15" style="1" width="26"/>
    <col collapsed="false" customWidth="true" hidden="false" outlineLevel="0" max="16" min="16" style="1" width="22"/>
    <col collapsed="false" customWidth="true" hidden="false" outlineLevel="0" max="17" min="17" style="1" width="12"/>
    <col collapsed="false" customWidth="true" hidden="false" outlineLevel="0" max="18" min="18" style="1" width="28"/>
  </cols>
  <sheetData>
    <row r="1" customFormat="false" ht="30" hidden="false" customHeight="true" outlineLevel="0" collapsed="false">
      <c r="A1" s="4" t="s">
        <v>447</v>
      </c>
      <c r="B1" s="4" t="s">
        <v>448</v>
      </c>
      <c r="C1" s="4" t="s">
        <v>449</v>
      </c>
      <c r="D1" s="4" t="s">
        <v>450</v>
      </c>
      <c r="E1" s="4" t="s">
        <v>54</v>
      </c>
      <c r="F1" s="4" t="s">
        <v>451</v>
      </c>
      <c r="G1" s="4" t="s">
        <v>452</v>
      </c>
      <c r="H1" s="4" t="s">
        <v>453</v>
      </c>
      <c r="I1" s="4" t="s">
        <v>454</v>
      </c>
      <c r="J1" s="4" t="s">
        <v>455</v>
      </c>
      <c r="K1" s="4" t="s">
        <v>61</v>
      </c>
      <c r="L1" s="4" t="s">
        <v>456</v>
      </c>
      <c r="M1" s="4" t="s">
        <v>457</v>
      </c>
      <c r="N1" s="4" t="s">
        <v>458</v>
      </c>
      <c r="O1" s="4" t="s">
        <v>459</v>
      </c>
      <c r="P1" s="4" t="s">
        <v>460</v>
      </c>
      <c r="Q1" s="4" t="s">
        <v>461</v>
      </c>
      <c r="R1" s="4" t="s">
        <v>462</v>
      </c>
    </row>
    <row r="2" customFormat="false" ht="15" hidden="false" customHeight="true" outlineLevel="0" collapsed="false">
      <c r="A2" s="7" t="s">
        <v>463</v>
      </c>
      <c r="B2" s="7" t="s">
        <v>464</v>
      </c>
      <c r="C2" s="7" t="n">
        <v>14</v>
      </c>
      <c r="D2" s="7" t="n">
        <v>10</v>
      </c>
      <c r="E2" s="7" t="s">
        <v>69</v>
      </c>
      <c r="F2" s="7" t="n">
        <v>10</v>
      </c>
      <c r="G2" s="7" t="s">
        <v>465</v>
      </c>
      <c r="H2" s="7" t="s">
        <v>378</v>
      </c>
      <c r="I2" s="7" t="s">
        <v>466</v>
      </c>
      <c r="J2" s="7" t="s">
        <v>386</v>
      </c>
      <c r="K2" s="7" t="s">
        <v>76</v>
      </c>
      <c r="L2" s="7" t="s">
        <v>380</v>
      </c>
      <c r="M2" s="7" t="n">
        <v>2</v>
      </c>
      <c r="N2" s="7" t="n">
        <v>0</v>
      </c>
      <c r="O2" s="7"/>
      <c r="P2" s="7"/>
      <c r="Q2" s="7" t="n">
        <v>6</v>
      </c>
      <c r="R2" s="7" t="s">
        <v>467</v>
      </c>
    </row>
    <row r="3" customFormat="false" ht="15" hidden="false" customHeight="true" outlineLevel="0" collapsed="false">
      <c r="A3" s="7" t="s">
        <v>468</v>
      </c>
      <c r="B3" s="7" t="s">
        <v>469</v>
      </c>
      <c r="C3" s="7" t="n">
        <v>16</v>
      </c>
      <c r="D3" s="7" t="n">
        <v>12</v>
      </c>
      <c r="E3" s="7" t="s">
        <v>69</v>
      </c>
      <c r="F3" s="7" t="n">
        <v>0</v>
      </c>
      <c r="G3" s="7" t="s">
        <v>470</v>
      </c>
      <c r="H3" s="7" t="s">
        <v>390</v>
      </c>
      <c r="I3" s="7" t="s">
        <v>471</v>
      </c>
      <c r="J3" s="7" t="s">
        <v>386</v>
      </c>
      <c r="K3" s="7" t="s">
        <v>91</v>
      </c>
      <c r="L3" s="7" t="s">
        <v>386</v>
      </c>
      <c r="M3" s="7" t="n">
        <v>2</v>
      </c>
      <c r="N3" s="7" t="n">
        <v>0</v>
      </c>
      <c r="O3" s="7"/>
      <c r="P3" s="7"/>
      <c r="Q3" s="7" t="n">
        <v>8</v>
      </c>
      <c r="R3" s="7" t="s">
        <v>472</v>
      </c>
    </row>
    <row r="4" customFormat="false" ht="15" hidden="false" customHeight="true" outlineLevel="0" collapsed="false">
      <c r="A4" s="7" t="s">
        <v>473</v>
      </c>
      <c r="B4" s="7" t="s">
        <v>474</v>
      </c>
      <c r="C4" s="7" t="n">
        <v>20</v>
      </c>
      <c r="D4" s="7" t="n">
        <v>14</v>
      </c>
      <c r="E4" s="7" t="s">
        <v>99</v>
      </c>
      <c r="F4" s="7" t="n">
        <v>0</v>
      </c>
      <c r="G4" s="7" t="s">
        <v>475</v>
      </c>
      <c r="H4" s="7" t="s">
        <v>384</v>
      </c>
      <c r="I4" s="7" t="s">
        <v>476</v>
      </c>
      <c r="J4" s="7" t="s">
        <v>386</v>
      </c>
      <c r="K4" s="7" t="s">
        <v>91</v>
      </c>
      <c r="L4" s="7" t="s">
        <v>386</v>
      </c>
      <c r="M4" s="7" t="n">
        <v>3</v>
      </c>
      <c r="N4" s="7" t="n">
        <v>0</v>
      </c>
      <c r="O4" s="7"/>
      <c r="P4" s="7"/>
      <c r="Q4" s="7" t="n">
        <v>8</v>
      </c>
      <c r="R4" s="7" t="s">
        <v>477</v>
      </c>
    </row>
    <row r="5" customFormat="false" ht="15" hidden="false" customHeight="true" outlineLevel="0" collapsed="false">
      <c r="A5" s="7" t="s">
        <v>478</v>
      </c>
      <c r="B5" s="7" t="s">
        <v>479</v>
      </c>
      <c r="C5" s="7" t="n">
        <v>16</v>
      </c>
      <c r="D5" s="7" t="n">
        <v>12</v>
      </c>
      <c r="E5" s="7" t="s">
        <v>99</v>
      </c>
      <c r="F5" s="7" t="n">
        <v>0</v>
      </c>
      <c r="G5" s="7" t="s">
        <v>480</v>
      </c>
      <c r="H5" s="7" t="s">
        <v>408</v>
      </c>
      <c r="I5" s="7" t="s">
        <v>481</v>
      </c>
      <c r="J5" s="7" t="s">
        <v>386</v>
      </c>
      <c r="K5" s="7" t="s">
        <v>76</v>
      </c>
      <c r="L5" s="7" t="s">
        <v>380</v>
      </c>
      <c r="M5" s="7" t="n">
        <v>2</v>
      </c>
      <c r="N5" s="7" t="n">
        <v>0</v>
      </c>
      <c r="O5" s="7"/>
      <c r="P5" s="7"/>
      <c r="Q5" s="7" t="n">
        <v>8</v>
      </c>
      <c r="R5" s="7" t="s">
        <v>482</v>
      </c>
    </row>
    <row r="6" customFormat="false" ht="15" hidden="false" customHeight="true" outlineLevel="0" collapsed="false">
      <c r="A6" s="7" t="s">
        <v>483</v>
      </c>
      <c r="B6" s="7" t="s">
        <v>484</v>
      </c>
      <c r="C6" s="7" t="n">
        <v>18</v>
      </c>
      <c r="D6" s="7" t="n">
        <v>12</v>
      </c>
      <c r="E6" s="7" t="s">
        <v>112</v>
      </c>
      <c r="F6" s="7" t="n">
        <v>8</v>
      </c>
      <c r="G6" s="7" t="s">
        <v>485</v>
      </c>
      <c r="H6" s="7" t="s">
        <v>416</v>
      </c>
      <c r="I6" s="7" t="s">
        <v>486</v>
      </c>
      <c r="J6" s="7" t="s">
        <v>386</v>
      </c>
      <c r="K6" s="7" t="s">
        <v>91</v>
      </c>
      <c r="L6" s="7" t="s">
        <v>386</v>
      </c>
      <c r="M6" s="7" t="n">
        <v>3</v>
      </c>
      <c r="N6" s="7" t="n">
        <v>0</v>
      </c>
      <c r="O6" s="7"/>
      <c r="P6" s="7"/>
      <c r="Q6" s="7" t="n">
        <v>9</v>
      </c>
      <c r="R6" s="7" t="s">
        <v>487</v>
      </c>
    </row>
    <row r="7" customFormat="false" ht="23.25" hidden="false" customHeight="true" outlineLevel="0" collapsed="false">
      <c r="A7" s="7" t="s">
        <v>488</v>
      </c>
      <c r="B7" s="7" t="s">
        <v>489</v>
      </c>
      <c r="C7" s="7" t="n">
        <v>17</v>
      </c>
      <c r="D7" s="7" t="n">
        <v>12</v>
      </c>
      <c r="E7" s="7" t="s">
        <v>122</v>
      </c>
      <c r="F7" s="7" t="n">
        <v>0</v>
      </c>
      <c r="G7" s="7" t="s">
        <v>490</v>
      </c>
      <c r="H7" s="7" t="s">
        <v>426</v>
      </c>
      <c r="I7" s="7" t="s">
        <v>491</v>
      </c>
      <c r="J7" s="7" t="s">
        <v>386</v>
      </c>
      <c r="K7" s="7" t="s">
        <v>91</v>
      </c>
      <c r="L7" s="7" t="s">
        <v>386</v>
      </c>
      <c r="M7" s="7" t="n">
        <v>2</v>
      </c>
      <c r="N7" s="7" t="n">
        <v>0</v>
      </c>
      <c r="O7" s="7"/>
      <c r="P7" s="7"/>
      <c r="Q7" s="7" t="n">
        <v>9</v>
      </c>
      <c r="R7" s="7" t="s">
        <v>492</v>
      </c>
    </row>
    <row r="8" customFormat="false" ht="23.25" hidden="false" customHeight="true" outlineLevel="0" collapsed="false">
      <c r="A8" s="7" t="s">
        <v>493</v>
      </c>
      <c r="B8" s="7" t="s">
        <v>494</v>
      </c>
      <c r="C8" s="7" t="n">
        <v>24</v>
      </c>
      <c r="D8" s="7" t="n">
        <v>16</v>
      </c>
      <c r="E8" s="7" t="s">
        <v>99</v>
      </c>
      <c r="F8" s="7" t="n">
        <v>9</v>
      </c>
      <c r="G8" s="7" t="s">
        <v>495</v>
      </c>
      <c r="H8" s="7" t="s">
        <v>496</v>
      </c>
      <c r="I8" s="7" t="s">
        <v>497</v>
      </c>
      <c r="J8" s="7" t="s">
        <v>380</v>
      </c>
      <c r="K8" s="7" t="s">
        <v>91</v>
      </c>
      <c r="L8" s="7" t="s">
        <v>386</v>
      </c>
      <c r="M8" s="7" t="n">
        <v>4</v>
      </c>
      <c r="N8" s="7" t="n">
        <v>0</v>
      </c>
      <c r="O8" s="7"/>
      <c r="P8" s="7"/>
      <c r="Q8" s="7" t="n">
        <v>99</v>
      </c>
      <c r="R8" s="7" t="s">
        <v>498</v>
      </c>
    </row>
    <row r="9" customFormat="false" ht="23.25" hidden="false" customHeight="true" outlineLevel="0" collapsed="false">
      <c r="A9" s="7" t="s">
        <v>499</v>
      </c>
      <c r="B9" s="7" t="s">
        <v>500</v>
      </c>
      <c r="C9" s="7" t="n">
        <v>18</v>
      </c>
      <c r="D9" s="7" t="n">
        <v>14</v>
      </c>
      <c r="E9" s="7" t="s">
        <v>135</v>
      </c>
      <c r="F9" s="7" t="n">
        <v>0</v>
      </c>
      <c r="G9" s="7" t="s">
        <v>501</v>
      </c>
      <c r="H9" s="7" t="s">
        <v>440</v>
      </c>
      <c r="I9" s="7" t="s">
        <v>502</v>
      </c>
      <c r="J9" s="7" t="s">
        <v>380</v>
      </c>
      <c r="K9" s="7" t="s">
        <v>76</v>
      </c>
      <c r="L9" s="7" t="s">
        <v>380</v>
      </c>
      <c r="M9" s="7" t="n">
        <v>3</v>
      </c>
      <c r="N9" s="7" t="n">
        <v>0</v>
      </c>
      <c r="O9" s="7"/>
      <c r="P9" s="7"/>
      <c r="Q9" s="7" t="n">
        <v>8</v>
      </c>
      <c r="R9" s="7" t="s">
        <v>503</v>
      </c>
    </row>
    <row r="10" customFormat="false" ht="79.5" hidden="false" customHeight="true" outlineLevel="0" collapsed="false">
      <c r="A10" s="7" t="s">
        <v>504</v>
      </c>
      <c r="B10" s="7" t="s">
        <v>505</v>
      </c>
      <c r="C10" s="7" t="n">
        <v>22</v>
      </c>
      <c r="D10" s="7" t="n">
        <v>12</v>
      </c>
      <c r="E10" s="7" t="s">
        <v>139</v>
      </c>
      <c r="F10" s="7" t="n">
        <v>10</v>
      </c>
      <c r="G10" s="7" t="s">
        <v>506</v>
      </c>
      <c r="H10" s="7" t="s">
        <v>507</v>
      </c>
      <c r="I10" s="7" t="s">
        <v>508</v>
      </c>
      <c r="J10" s="7" t="s">
        <v>380</v>
      </c>
      <c r="K10" s="7" t="s">
        <v>91</v>
      </c>
      <c r="L10" s="7" t="s">
        <v>386</v>
      </c>
      <c r="M10" s="7" t="n">
        <v>3</v>
      </c>
      <c r="N10" s="7" t="n">
        <v>0</v>
      </c>
      <c r="O10" s="7"/>
      <c r="P10" s="7"/>
      <c r="Q10" s="7" t="n">
        <v>10</v>
      </c>
      <c r="R10" s="7" t="s">
        <v>509</v>
      </c>
    </row>
    <row r="11" customFormat="false" ht="15" hidden="false" customHeight="true" outlineLevel="0" collapsed="false">
      <c r="A11" s="7" t="s">
        <v>510</v>
      </c>
      <c r="B11" s="7" t="s">
        <v>511</v>
      </c>
      <c r="C11" s="7" t="n">
        <v>24</v>
      </c>
      <c r="D11" s="7" t="n">
        <v>16</v>
      </c>
      <c r="E11" s="7" t="s">
        <v>69</v>
      </c>
      <c r="F11" s="7" t="n">
        <v>0</v>
      </c>
      <c r="G11" s="7" t="s">
        <v>512</v>
      </c>
      <c r="H11" s="7" t="s">
        <v>513</v>
      </c>
      <c r="I11" s="7" t="s">
        <v>514</v>
      </c>
      <c r="J11" s="7" t="s">
        <v>380</v>
      </c>
      <c r="K11" s="7" t="s">
        <v>76</v>
      </c>
      <c r="L11" s="7" t="s">
        <v>380</v>
      </c>
      <c r="M11" s="7" t="n">
        <v>7</v>
      </c>
      <c r="N11" s="7" t="n">
        <v>0</v>
      </c>
      <c r="O11" s="7"/>
      <c r="P11" s="7"/>
      <c r="Q11" s="7" t="n">
        <v>8</v>
      </c>
      <c r="R11" s="7" t="s">
        <v>515</v>
      </c>
    </row>
    <row r="13" customFormat="false" ht="15" hidden="false" customHeight="true" outlineLevel="0" collapsed="false">
      <c r="A13" s="10" t="s">
        <v>516</v>
      </c>
    </row>
    <row r="14" customFormat="false" ht="15" hidden="false" customHeight="true" outlineLevel="0" collapsed="false">
      <c r="A14" s="10" t="s">
        <v>517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7"/>
    <col collapsed="false" customWidth="true" hidden="false" outlineLevel="0" max="3" min="3" style="1" width="10"/>
    <col collapsed="false" customWidth="true" hidden="false" outlineLevel="0" max="5" min="4" style="1" width="9"/>
    <col collapsed="false" customWidth="true" hidden="false" outlineLevel="0" max="6" min="6" style="1" width="20"/>
    <col collapsed="false" customWidth="true" hidden="false" outlineLevel="0" max="7" min="7" style="1" width="11"/>
    <col collapsed="false" customWidth="true" hidden="false" outlineLevel="0" max="8" min="8" style="1" width="12"/>
    <col collapsed="false" customWidth="true" hidden="false" outlineLevel="0" max="9" min="9" style="1" width="26"/>
    <col collapsed="false" customWidth="true" hidden="false" outlineLevel="0" max="10" min="10" style="1" width="44"/>
    <col collapsed="false" customWidth="true" hidden="false" outlineLevel="0" max="11" min="11" style="1" width="16"/>
    <col collapsed="false" customWidth="true" hidden="false" outlineLevel="0" max="12" min="12" style="1" width="22"/>
  </cols>
  <sheetData>
    <row r="1" customFormat="false" ht="30" hidden="false" customHeight="true" outlineLevel="0" collapsed="false">
      <c r="A1" s="4" t="s">
        <v>453</v>
      </c>
      <c r="B1" s="4" t="s">
        <v>49</v>
      </c>
      <c r="C1" s="4" t="s">
        <v>48</v>
      </c>
      <c r="D1" s="4" t="s">
        <v>50</v>
      </c>
      <c r="E1" s="4" t="s">
        <v>518</v>
      </c>
      <c r="F1" s="4" t="s">
        <v>448</v>
      </c>
      <c r="G1" s="4" t="s">
        <v>447</v>
      </c>
      <c r="H1" s="4" t="s">
        <v>55</v>
      </c>
      <c r="I1" s="4" t="s">
        <v>519</v>
      </c>
      <c r="J1" s="4" t="s">
        <v>151</v>
      </c>
      <c r="K1" s="4" t="s">
        <v>59</v>
      </c>
      <c r="L1" s="4" t="s">
        <v>520</v>
      </c>
    </row>
    <row r="2" customFormat="false" ht="15" hidden="false" customHeight="true" outlineLevel="0" collapsed="false">
      <c r="A2" s="7" t="s">
        <v>378</v>
      </c>
      <c r="B2" s="7" t="s">
        <v>79</v>
      </c>
      <c r="C2" s="7" t="s">
        <v>63</v>
      </c>
      <c r="D2" s="7" t="s">
        <v>65</v>
      </c>
      <c r="E2" s="7" t="n">
        <v>1</v>
      </c>
      <c r="F2" s="7" t="s">
        <v>464</v>
      </c>
      <c r="G2" s="7" t="s">
        <v>463</v>
      </c>
      <c r="H2" s="7"/>
      <c r="I2" s="7" t="s">
        <v>428</v>
      </c>
      <c r="J2" s="7"/>
      <c r="K2" s="8" t="s">
        <v>104</v>
      </c>
      <c r="L2" s="8" t="s">
        <v>521</v>
      </c>
    </row>
    <row r="3" customFormat="false" ht="15" hidden="false" customHeight="true" outlineLevel="0" collapsed="false">
      <c r="A3" s="7" t="s">
        <v>390</v>
      </c>
      <c r="B3" s="7" t="s">
        <v>79</v>
      </c>
      <c r="C3" s="7" t="s">
        <v>63</v>
      </c>
      <c r="D3" s="7" t="s">
        <v>65</v>
      </c>
      <c r="E3" s="7" t="n">
        <v>2</v>
      </c>
      <c r="F3" s="7" t="s">
        <v>469</v>
      </c>
      <c r="G3" s="7" t="s">
        <v>468</v>
      </c>
      <c r="H3" s="7"/>
      <c r="I3" s="7" t="s">
        <v>399</v>
      </c>
      <c r="J3" s="7"/>
      <c r="K3" s="8" t="s">
        <v>116</v>
      </c>
      <c r="L3" s="8" t="s">
        <v>522</v>
      </c>
    </row>
    <row r="4" customFormat="false" ht="15" hidden="false" customHeight="true" outlineLevel="0" collapsed="false">
      <c r="A4" s="7" t="s">
        <v>384</v>
      </c>
      <c r="B4" s="7" t="s">
        <v>79</v>
      </c>
      <c r="C4" s="7" t="s">
        <v>63</v>
      </c>
      <c r="D4" s="7" t="s">
        <v>65</v>
      </c>
      <c r="E4" s="7" t="n">
        <v>3</v>
      </c>
      <c r="F4" s="7" t="s">
        <v>474</v>
      </c>
      <c r="G4" s="7" t="s">
        <v>473</v>
      </c>
      <c r="H4" s="7"/>
      <c r="I4" s="7" t="s">
        <v>523</v>
      </c>
      <c r="J4" s="7"/>
      <c r="K4" s="8" t="s">
        <v>116</v>
      </c>
      <c r="L4" s="8" t="s">
        <v>524</v>
      </c>
    </row>
    <row r="5" customFormat="false" ht="15" hidden="false" customHeight="true" outlineLevel="0" collapsed="false">
      <c r="A5" s="7" t="s">
        <v>408</v>
      </c>
      <c r="B5" s="7" t="s">
        <v>79</v>
      </c>
      <c r="C5" s="7" t="s">
        <v>78</v>
      </c>
      <c r="D5" s="7" t="s">
        <v>65</v>
      </c>
      <c r="E5" s="7" t="n">
        <v>1</v>
      </c>
      <c r="F5" s="7" t="s">
        <v>479</v>
      </c>
      <c r="G5" s="7" t="s">
        <v>478</v>
      </c>
      <c r="H5" s="7"/>
      <c r="I5" s="7" t="s">
        <v>525</v>
      </c>
      <c r="J5" s="7"/>
      <c r="K5" s="8" t="s">
        <v>74</v>
      </c>
      <c r="L5" s="8" t="s">
        <v>526</v>
      </c>
    </row>
    <row r="6" customFormat="false" ht="15" hidden="false" customHeight="true" outlineLevel="0" collapsed="false">
      <c r="A6" s="7" t="s">
        <v>416</v>
      </c>
      <c r="B6" s="7" t="s">
        <v>79</v>
      </c>
      <c r="C6" s="7" t="s">
        <v>78</v>
      </c>
      <c r="D6" s="7" t="s">
        <v>65</v>
      </c>
      <c r="E6" s="7" t="n">
        <v>2</v>
      </c>
      <c r="F6" s="7" t="s">
        <v>484</v>
      </c>
      <c r="G6" s="7" t="s">
        <v>483</v>
      </c>
      <c r="H6" s="7"/>
      <c r="I6" s="7" t="s">
        <v>527</v>
      </c>
      <c r="J6" s="7" t="s">
        <v>528</v>
      </c>
      <c r="K6" s="8" t="s">
        <v>74</v>
      </c>
      <c r="L6" s="8" t="s">
        <v>529</v>
      </c>
    </row>
    <row r="7" customFormat="false" ht="15" hidden="false" customHeight="true" outlineLevel="0" collapsed="false">
      <c r="A7" s="7" t="s">
        <v>426</v>
      </c>
      <c r="B7" s="7" t="s">
        <v>79</v>
      </c>
      <c r="C7" s="7" t="s">
        <v>78</v>
      </c>
      <c r="D7" s="7" t="s">
        <v>65</v>
      </c>
      <c r="E7" s="7" t="n">
        <v>3</v>
      </c>
      <c r="F7" s="7" t="s">
        <v>489</v>
      </c>
      <c r="G7" s="7" t="s">
        <v>488</v>
      </c>
      <c r="H7" s="7"/>
      <c r="I7" s="7" t="s">
        <v>424</v>
      </c>
      <c r="J7" s="7" t="s">
        <v>530</v>
      </c>
      <c r="K7" s="8" t="s">
        <v>125</v>
      </c>
      <c r="L7" s="8" t="s">
        <v>531</v>
      </c>
    </row>
    <row r="8" customFormat="false" ht="23.25" hidden="false" customHeight="true" outlineLevel="0" collapsed="false">
      <c r="A8" s="7" t="s">
        <v>496</v>
      </c>
      <c r="B8" s="7" t="s">
        <v>94</v>
      </c>
      <c r="C8" s="7" t="s">
        <v>93</v>
      </c>
      <c r="D8" s="7" t="s">
        <v>65</v>
      </c>
      <c r="E8" s="7" t="n">
        <v>11</v>
      </c>
      <c r="F8" s="7" t="s">
        <v>494</v>
      </c>
      <c r="G8" s="7" t="s">
        <v>493</v>
      </c>
      <c r="H8" s="7"/>
      <c r="I8" s="7"/>
      <c r="J8" s="7" t="s">
        <v>532</v>
      </c>
      <c r="K8" s="8" t="s">
        <v>132</v>
      </c>
      <c r="L8" s="8" t="s">
        <v>533</v>
      </c>
    </row>
    <row r="9" customFormat="false" ht="15" hidden="false" customHeight="true" outlineLevel="0" collapsed="false">
      <c r="A9" s="7" t="s">
        <v>440</v>
      </c>
      <c r="B9" s="7" t="s">
        <v>94</v>
      </c>
      <c r="C9" s="7" t="s">
        <v>93</v>
      </c>
      <c r="D9" s="7" t="s">
        <v>95</v>
      </c>
      <c r="E9" s="7" t="n">
        <v>15</v>
      </c>
      <c r="F9" s="7" t="s">
        <v>500</v>
      </c>
      <c r="G9" s="7" t="s">
        <v>499</v>
      </c>
      <c r="H9" s="7" t="s">
        <v>100</v>
      </c>
      <c r="I9" s="7"/>
      <c r="J9" s="7" t="s">
        <v>534</v>
      </c>
      <c r="K9" s="8" t="s">
        <v>74</v>
      </c>
      <c r="L9" s="8" t="s">
        <v>535</v>
      </c>
    </row>
    <row r="10" customFormat="false" ht="23.25" hidden="false" customHeight="true" outlineLevel="0" collapsed="false">
      <c r="A10" s="7" t="s">
        <v>507</v>
      </c>
      <c r="B10" s="7" t="s">
        <v>79</v>
      </c>
      <c r="C10" s="7" t="s">
        <v>63</v>
      </c>
      <c r="D10" s="7" t="s">
        <v>65</v>
      </c>
      <c r="E10" s="7" t="n">
        <v>5</v>
      </c>
      <c r="F10" s="7" t="s">
        <v>505</v>
      </c>
      <c r="G10" s="7" t="s">
        <v>504</v>
      </c>
      <c r="H10" s="7"/>
      <c r="I10" s="7"/>
      <c r="J10" s="7" t="s">
        <v>536</v>
      </c>
      <c r="K10" s="7" t="s">
        <v>89</v>
      </c>
      <c r="L10" s="7" t="s">
        <v>537</v>
      </c>
    </row>
    <row r="11" customFormat="false" ht="15" hidden="false" customHeight="true" outlineLevel="0" collapsed="false">
      <c r="A11" s="7" t="s">
        <v>513</v>
      </c>
      <c r="B11" s="7" t="s">
        <v>64</v>
      </c>
      <c r="C11" s="7" t="s">
        <v>93</v>
      </c>
      <c r="D11" s="7" t="s">
        <v>65</v>
      </c>
      <c r="E11" s="7" t="n">
        <v>0</v>
      </c>
      <c r="F11" s="7" t="s">
        <v>511</v>
      </c>
      <c r="G11" s="7" t="s">
        <v>510</v>
      </c>
      <c r="H11" s="7"/>
      <c r="I11" s="7"/>
      <c r="J11" s="7" t="s">
        <v>538</v>
      </c>
      <c r="K11" s="7" t="s">
        <v>89</v>
      </c>
      <c r="L11" s="7" t="s">
        <v>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40"/>
    <col collapsed="false" customWidth="true" hidden="false" outlineLevel="0" max="4" min="4" style="1" width="16"/>
    <col collapsed="false" customWidth="true" hidden="false" outlineLevel="0" max="5" min="5" style="1" width="14"/>
    <col collapsed="false" customWidth="true" hidden="false" outlineLevel="0" max="6" min="6" style="1" width="18"/>
  </cols>
  <sheetData>
    <row r="1" customFormat="false" ht="30" hidden="false" customHeight="true" outlineLevel="0" collapsed="false">
      <c r="A1" s="4" t="s">
        <v>540</v>
      </c>
      <c r="B1" s="4" t="s">
        <v>57</v>
      </c>
      <c r="C1" s="4" t="s">
        <v>541</v>
      </c>
      <c r="D1" s="4" t="s">
        <v>542</v>
      </c>
      <c r="E1" s="4" t="s">
        <v>543</v>
      </c>
      <c r="F1" s="4" t="s">
        <v>544</v>
      </c>
    </row>
    <row r="2" customFormat="false" ht="15" hidden="false" customHeight="true" outlineLevel="0" collapsed="false">
      <c r="A2" s="7" t="s">
        <v>545</v>
      </c>
      <c r="B2" s="7" t="s">
        <v>72</v>
      </c>
      <c r="C2" s="7" t="s">
        <v>546</v>
      </c>
      <c r="D2" s="7" t="s">
        <v>547</v>
      </c>
      <c r="E2" s="7" t="s">
        <v>386</v>
      </c>
      <c r="F2" s="7" t="s">
        <v>548</v>
      </c>
    </row>
    <row r="3" customFormat="false" ht="15" hidden="false" customHeight="true" outlineLevel="0" collapsed="false">
      <c r="A3" s="7" t="s">
        <v>549</v>
      </c>
      <c r="B3" s="7" t="s">
        <v>87</v>
      </c>
      <c r="C3" s="7" t="s">
        <v>550</v>
      </c>
      <c r="D3" s="7" t="s">
        <v>551</v>
      </c>
      <c r="E3" s="7" t="s">
        <v>386</v>
      </c>
      <c r="F3" s="7" t="s">
        <v>552</v>
      </c>
    </row>
    <row r="4" customFormat="false" ht="15" hidden="false" customHeight="true" outlineLevel="0" collapsed="false">
      <c r="A4" s="7" t="s">
        <v>553</v>
      </c>
      <c r="B4" s="7" t="s">
        <v>102</v>
      </c>
      <c r="C4" s="7" t="s">
        <v>554</v>
      </c>
      <c r="D4" s="7" t="s">
        <v>547</v>
      </c>
      <c r="E4" s="7" t="s">
        <v>386</v>
      </c>
      <c r="F4" s="7" t="s">
        <v>555</v>
      </c>
    </row>
    <row r="5" customFormat="false" ht="15" hidden="false" customHeight="true" outlineLevel="0" collapsed="false">
      <c r="A5" s="7" t="s">
        <v>556</v>
      </c>
      <c r="B5" s="7" t="s">
        <v>115</v>
      </c>
      <c r="C5" s="7" t="s">
        <v>557</v>
      </c>
      <c r="D5" s="7" t="s">
        <v>558</v>
      </c>
      <c r="E5" s="7" t="s">
        <v>380</v>
      </c>
      <c r="F5" s="7" t="s">
        <v>559</v>
      </c>
    </row>
    <row r="6" customFormat="false" ht="15" hidden="false" customHeight="true" outlineLevel="0" collapsed="false">
      <c r="A6" s="7" t="s">
        <v>560</v>
      </c>
      <c r="B6" s="7" t="s">
        <v>124</v>
      </c>
      <c r="C6" s="7" t="s">
        <v>561</v>
      </c>
      <c r="D6" s="7" t="s">
        <v>562</v>
      </c>
      <c r="E6" s="7" t="s">
        <v>380</v>
      </c>
      <c r="F6" s="7" t="s">
        <v>563</v>
      </c>
    </row>
    <row r="7" customFormat="false" ht="15" hidden="false" customHeight="true" outlineLevel="0" collapsed="false">
      <c r="A7" s="7" t="s">
        <v>564</v>
      </c>
      <c r="B7" s="7" t="s">
        <v>131</v>
      </c>
      <c r="C7" s="7" t="s">
        <v>565</v>
      </c>
      <c r="D7" s="7" t="s">
        <v>547</v>
      </c>
      <c r="E7" s="7" t="s">
        <v>380</v>
      </c>
      <c r="F7" s="7" t="s">
        <v>566</v>
      </c>
    </row>
    <row r="8" customFormat="false" ht="15" hidden="false" customHeight="true" outlineLevel="0" collapsed="false">
      <c r="A8" s="7" t="s">
        <v>567</v>
      </c>
      <c r="B8" s="7" t="s">
        <v>136</v>
      </c>
      <c r="C8" s="7" t="s">
        <v>568</v>
      </c>
      <c r="D8" s="7" t="s">
        <v>569</v>
      </c>
      <c r="E8" s="7" t="s">
        <v>380</v>
      </c>
      <c r="F8" s="7" t="s">
        <v>570</v>
      </c>
    </row>
    <row r="9" customFormat="false" ht="15" hidden="false" customHeight="true" outlineLevel="0" collapsed="false">
      <c r="A9" s="7" t="s">
        <v>571</v>
      </c>
      <c r="B9" s="7" t="s">
        <v>140</v>
      </c>
      <c r="C9" s="7" t="s">
        <v>572</v>
      </c>
      <c r="D9" s="7" t="s">
        <v>547</v>
      </c>
      <c r="E9" s="7" t="s">
        <v>386</v>
      </c>
      <c r="F9" s="7" t="s">
        <v>573</v>
      </c>
    </row>
    <row r="11" customFormat="false" ht="15" hidden="false" customHeight="true" outlineLevel="0" collapsed="false">
      <c r="A11" s="10" t="s">
        <v>574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 collapsed="false" customWidth="true" hidden="false" outlineLevel="0" max="3" min="3" style="1" width="46"/>
  </cols>
  <sheetData>
    <row r="1" customFormat="false" ht="30" hidden="false" customHeight="true" outlineLevel="0" collapsed="false">
      <c r="A1" s="4" t="s">
        <v>575</v>
      </c>
      <c r="B1" s="4" t="s">
        <v>576</v>
      </c>
      <c r="C1" s="4" t="s">
        <v>577</v>
      </c>
    </row>
    <row r="2" customFormat="false" ht="15" hidden="false" customHeight="true" outlineLevel="0" collapsed="false">
      <c r="A2" s="7" t="s">
        <v>578</v>
      </c>
      <c r="B2" s="11" t="n">
        <v>2</v>
      </c>
      <c r="C2" s="7" t="s">
        <v>579</v>
      </c>
    </row>
    <row r="3" customFormat="false" ht="15" hidden="false" customHeight="true" outlineLevel="0" collapsed="false">
      <c r="A3" s="7" t="s">
        <v>580</v>
      </c>
      <c r="B3" s="11" t="n">
        <v>0</v>
      </c>
      <c r="C3" s="7" t="s">
        <v>581</v>
      </c>
    </row>
    <row r="4" customFormat="false" ht="15" hidden="false" customHeight="true" outlineLevel="0" collapsed="false">
      <c r="A4" s="7" t="s">
        <v>582</v>
      </c>
      <c r="B4" s="11" t="n">
        <v>1</v>
      </c>
      <c r="C4" s="7" t="s">
        <v>583</v>
      </c>
    </row>
    <row r="5" customFormat="false" ht="15" hidden="false" customHeight="true" outlineLevel="0" collapsed="false">
      <c r="A5" s="7" t="s">
        <v>584</v>
      </c>
      <c r="B5" s="11" t="n">
        <v>1</v>
      </c>
      <c r="C5" s="7" t="s">
        <v>585</v>
      </c>
    </row>
    <row r="6" customFormat="false" ht="15" hidden="false" customHeight="true" outlineLevel="0" collapsed="false">
      <c r="A6" s="7" t="s">
        <v>586</v>
      </c>
      <c r="B6" s="11" t="n">
        <v>0</v>
      </c>
      <c r="C6" s="7" t="s">
        <v>587</v>
      </c>
    </row>
    <row r="7" customFormat="false" ht="15" hidden="false" customHeight="true" outlineLevel="0" collapsed="false">
      <c r="A7" s="7" t="s">
        <v>588</v>
      </c>
      <c r="B7" s="11" t="n">
        <v>1.5</v>
      </c>
      <c r="C7" s="7" t="s">
        <v>589</v>
      </c>
    </row>
    <row r="8" customFormat="false" ht="15" hidden="false" customHeight="true" outlineLevel="0" collapsed="false">
      <c r="A8" s="7" t="s">
        <v>590</v>
      </c>
      <c r="B8" s="11" t="n">
        <v>0.5</v>
      </c>
      <c r="C8" s="7" t="s">
        <v>591</v>
      </c>
    </row>
    <row r="9" customFormat="false" ht="15" hidden="false" customHeight="true" outlineLevel="0" collapsed="false">
      <c r="A9" s="7" t="s">
        <v>592</v>
      </c>
      <c r="B9" s="11" t="n">
        <v>0.25</v>
      </c>
      <c r="C9" s="7" t="s">
        <v>593</v>
      </c>
    </row>
    <row r="11" customFormat="false" ht="15" hidden="false" customHeight="true" outlineLevel="0" collapsed="false">
      <c r="A11" s="10" t="s">
        <v>594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2"/>
    <col collapsed="false" customWidth="true" hidden="false" outlineLevel="0" max="3" min="3" style="1" width="14"/>
    <col collapsed="false" customWidth="true" hidden="false" outlineLevel="0" max="6" min="4" style="1" width="8"/>
    <col collapsed="false" customWidth="true" hidden="false" outlineLevel="0" max="7" min="7" style="1" width="15"/>
    <col collapsed="false" customWidth="true" hidden="false" outlineLevel="0" max="8" min="8" style="1" width="48"/>
  </cols>
  <sheetData>
    <row r="1" customFormat="false" ht="30" hidden="false" customHeight="true" outlineLevel="0" collapsed="false">
      <c r="A1" s="4" t="s">
        <v>595</v>
      </c>
      <c r="B1" s="4" t="s">
        <v>189</v>
      </c>
      <c r="C1" s="4" t="s">
        <v>596</v>
      </c>
      <c r="D1" s="4" t="s">
        <v>597</v>
      </c>
      <c r="E1" s="4" t="s">
        <v>598</v>
      </c>
      <c r="F1" s="4" t="s">
        <v>599</v>
      </c>
      <c r="G1" s="4" t="s">
        <v>600</v>
      </c>
      <c r="H1" s="4" t="s">
        <v>151</v>
      </c>
    </row>
    <row r="2" customFormat="false" ht="15" hidden="false" customHeight="true" outlineLevel="0" collapsed="false">
      <c r="A2" s="7" t="s">
        <v>601</v>
      </c>
      <c r="B2" s="7" t="s">
        <v>602</v>
      </c>
      <c r="C2" s="7" t="s">
        <v>603</v>
      </c>
      <c r="D2" s="7" t="s">
        <v>386</v>
      </c>
      <c r="E2" s="7" t="s">
        <v>386</v>
      </c>
      <c r="F2" s="7" t="s">
        <v>386</v>
      </c>
      <c r="G2" s="7" t="s">
        <v>380</v>
      </c>
      <c r="H2" s="7" t="s">
        <v>604</v>
      </c>
    </row>
    <row r="3" customFormat="false" ht="15" hidden="false" customHeight="true" outlineLevel="0" collapsed="false">
      <c r="A3" s="7" t="s">
        <v>605</v>
      </c>
      <c r="B3" s="7" t="s">
        <v>606</v>
      </c>
      <c r="C3" s="7" t="s">
        <v>603</v>
      </c>
      <c r="D3" s="7" t="s">
        <v>386</v>
      </c>
      <c r="E3" s="7" t="s">
        <v>386</v>
      </c>
      <c r="F3" s="7" t="s">
        <v>386</v>
      </c>
      <c r="G3" s="7" t="s">
        <v>386</v>
      </c>
      <c r="H3" s="7"/>
    </row>
    <row r="4" customFormat="false" ht="23.25" hidden="false" customHeight="true" outlineLevel="0" collapsed="false">
      <c r="A4" s="7" t="s">
        <v>607</v>
      </c>
      <c r="B4" s="7" t="s">
        <v>608</v>
      </c>
      <c r="C4" s="7" t="s">
        <v>603</v>
      </c>
      <c r="D4" s="7" t="s">
        <v>386</v>
      </c>
      <c r="E4" s="7" t="s">
        <v>386</v>
      </c>
      <c r="F4" s="7" t="s">
        <v>386</v>
      </c>
      <c r="G4" s="7" t="s">
        <v>380</v>
      </c>
      <c r="H4" s="7" t="s">
        <v>609</v>
      </c>
    </row>
    <row r="5" customFormat="false" ht="15" hidden="false" customHeight="true" outlineLevel="0" collapsed="false">
      <c r="A5" s="7" t="s">
        <v>610</v>
      </c>
      <c r="B5" s="7" t="s">
        <v>611</v>
      </c>
      <c r="C5" s="7" t="s">
        <v>603</v>
      </c>
      <c r="D5" s="7" t="s">
        <v>386</v>
      </c>
      <c r="E5" s="7" t="s">
        <v>386</v>
      </c>
      <c r="F5" s="7" t="s">
        <v>386</v>
      </c>
      <c r="G5" s="7" t="s">
        <v>386</v>
      </c>
      <c r="H5" s="7"/>
    </row>
    <row r="6" customFormat="false" ht="15" hidden="false" customHeight="true" outlineLevel="0" collapsed="false">
      <c r="A6" s="7" t="s">
        <v>612</v>
      </c>
      <c r="B6" s="7" t="s">
        <v>613</v>
      </c>
      <c r="C6" s="7" t="s">
        <v>614</v>
      </c>
      <c r="D6" s="7" t="s">
        <v>386</v>
      </c>
      <c r="E6" s="7" t="s">
        <v>386</v>
      </c>
      <c r="F6" s="7" t="s">
        <v>386</v>
      </c>
      <c r="G6" s="7" t="s">
        <v>380</v>
      </c>
      <c r="H6" s="7" t="s">
        <v>615</v>
      </c>
    </row>
    <row r="7" customFormat="false" ht="15" hidden="false" customHeight="true" outlineLevel="0" collapsed="false">
      <c r="A7" s="7" t="s">
        <v>616</v>
      </c>
      <c r="B7" s="7" t="s">
        <v>617</v>
      </c>
      <c r="C7" s="7" t="s">
        <v>618</v>
      </c>
      <c r="D7" s="7" t="s">
        <v>380</v>
      </c>
      <c r="E7" s="7" t="s">
        <v>380</v>
      </c>
      <c r="F7" s="7" t="s">
        <v>386</v>
      </c>
      <c r="G7" s="7" t="s">
        <v>380</v>
      </c>
      <c r="H7" s="7" t="s">
        <v>619</v>
      </c>
    </row>
    <row r="8" customFormat="false" ht="15" hidden="false" customHeight="true" outlineLevel="0" collapsed="false">
      <c r="A8" s="7" t="s">
        <v>620</v>
      </c>
      <c r="B8" s="7" t="s">
        <v>621</v>
      </c>
      <c r="C8" s="7" t="s">
        <v>618</v>
      </c>
      <c r="D8" s="7" t="s">
        <v>380</v>
      </c>
      <c r="E8" s="7" t="s">
        <v>380</v>
      </c>
      <c r="F8" s="7" t="s">
        <v>386</v>
      </c>
      <c r="G8" s="7" t="s">
        <v>380</v>
      </c>
      <c r="H8" s="7" t="s">
        <v>622</v>
      </c>
    </row>
    <row r="9" customFormat="false" ht="225.35" hidden="false" customHeight="false" outlineLevel="0" collapsed="false">
      <c r="A9" s="7" t="s">
        <v>623</v>
      </c>
      <c r="B9" s="7" t="s">
        <v>624</v>
      </c>
      <c r="C9" s="7" t="s">
        <v>625</v>
      </c>
      <c r="D9" s="7" t="s">
        <v>380</v>
      </c>
      <c r="E9" s="7" t="s">
        <v>386</v>
      </c>
      <c r="F9" s="7" t="s">
        <v>386</v>
      </c>
      <c r="G9" s="7" t="s">
        <v>380</v>
      </c>
      <c r="H9" s="7" t="s">
        <v>626</v>
      </c>
    </row>
    <row r="10" customFormat="false" ht="15" hidden="false" customHeight="true" outlineLevel="0" collapsed="false">
      <c r="A10" s="10" t="s">
        <v>627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2"/>
    <col collapsed="false" customWidth="true" hidden="false" outlineLevel="0" max="3" min="3" style="1" width="14"/>
    <col collapsed="false" customWidth="true" hidden="false" outlineLevel="0" max="4" min="4" style="1" width="24"/>
    <col collapsed="false" customWidth="true" hidden="false" outlineLevel="0" max="5" min="5" style="1" width="18"/>
    <col collapsed="false" customWidth="true" hidden="false" outlineLevel="0" max="6" min="6" style="1" width="20"/>
    <col collapsed="false" customWidth="true" hidden="false" outlineLevel="0" max="7" min="7" style="1" width="46"/>
    <col collapsed="false" customWidth="true" hidden="false" outlineLevel="0" max="9" min="8" style="1" width="12"/>
  </cols>
  <sheetData>
    <row r="1" customFormat="false" ht="30" hidden="false" customHeight="true" outlineLevel="0" collapsed="false">
      <c r="A1" s="4" t="s">
        <v>628</v>
      </c>
      <c r="B1" s="4" t="s">
        <v>453</v>
      </c>
      <c r="C1" s="4" t="s">
        <v>629</v>
      </c>
      <c r="D1" s="4" t="s">
        <v>630</v>
      </c>
      <c r="E1" s="4" t="s">
        <v>631</v>
      </c>
      <c r="F1" s="4" t="s">
        <v>632</v>
      </c>
      <c r="G1" s="4" t="s">
        <v>633</v>
      </c>
      <c r="H1" s="4" t="s">
        <v>369</v>
      </c>
      <c r="I1" s="4" t="s">
        <v>634</v>
      </c>
    </row>
    <row r="2" customFormat="false" ht="23.25" hidden="false" customHeight="true" outlineLevel="0" collapsed="false">
      <c r="A2" s="7" t="s">
        <v>635</v>
      </c>
      <c r="B2" s="7" t="s">
        <v>496</v>
      </c>
      <c r="C2" s="7" t="s">
        <v>636</v>
      </c>
      <c r="D2" s="7" t="s">
        <v>637</v>
      </c>
      <c r="E2" s="7"/>
      <c r="F2" s="7" t="s">
        <v>638</v>
      </c>
      <c r="G2" s="7" t="s">
        <v>639</v>
      </c>
      <c r="H2" s="7" t="s">
        <v>640</v>
      </c>
      <c r="I2" s="7" t="n">
        <v>0</v>
      </c>
    </row>
    <row r="4" customFormat="false" ht="15" hidden="false" customHeight="true" outlineLevel="0" collapsed="false">
      <c r="A4" s="10" t="s">
        <v>641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6"/>
    <col collapsed="false" customWidth="true" hidden="false" outlineLevel="0" max="4" min="3" style="1" width="12"/>
  </cols>
  <sheetData>
    <row r="1" customFormat="false" ht="15" hidden="false" customHeight="true" outlineLevel="0" collapsed="false">
      <c r="A1" s="5" t="s">
        <v>642</v>
      </c>
      <c r="B1" s="5" t="s">
        <v>643</v>
      </c>
      <c r="C1" s="5" t="s">
        <v>58</v>
      </c>
      <c r="D1" s="5" t="s">
        <v>644</v>
      </c>
    </row>
    <row r="2" customFormat="false" ht="15" hidden="false" customHeight="true" outlineLevel="0" collapsed="false">
      <c r="A2" s="7" t="s">
        <v>645</v>
      </c>
      <c r="B2" s="7" t="s">
        <v>646</v>
      </c>
      <c r="C2" s="7" t="s">
        <v>73</v>
      </c>
      <c r="D2" s="8" t="n">
        <f aca="false">SUMPRODUCT(--(COUNTIF(chapters!$A$2:$A$500,units!$E$2:$E$200)=0),--(units!$E$2:$E$200&lt;&gt;""))</f>
        <v>0</v>
      </c>
    </row>
    <row r="3" customFormat="false" ht="15" hidden="false" customHeight="true" outlineLevel="0" collapsed="false">
      <c r="A3" s="7" t="s">
        <v>647</v>
      </c>
      <c r="B3" s="7" t="s">
        <v>648</v>
      </c>
      <c r="C3" s="7" t="s">
        <v>73</v>
      </c>
      <c r="D3" s="8" t="n">
        <f aca="false">SUMPRODUCT(--(COUNTIF(classes!$A$2:$A$500,units!$G$2:$G$200)=0),--(units!$G$2:$G$200&lt;&gt;""))</f>
        <v>0</v>
      </c>
    </row>
    <row r="4" customFormat="false" ht="15" hidden="false" customHeight="true" outlineLevel="0" collapsed="false">
      <c r="A4" s="7" t="s">
        <v>649</v>
      </c>
      <c r="B4" s="7" t="s">
        <v>650</v>
      </c>
      <c r="C4" s="7" t="s">
        <v>73</v>
      </c>
      <c r="D4" s="8" t="n">
        <f aca="false">SUMPRODUCT(--(COUNTIF(growths!$A$2:$A$200,units!$H$2:$H$200)=0),--(units!$H$2:$H$200&lt;&gt;""))</f>
        <v>0</v>
      </c>
    </row>
    <row r="5" customFormat="false" ht="15" hidden="false" customHeight="true" outlineLevel="0" collapsed="false">
      <c r="A5" s="7" t="s">
        <v>651</v>
      </c>
      <c r="B5" s="7" t="s">
        <v>652</v>
      </c>
      <c r="C5" s="7" t="s">
        <v>73</v>
      </c>
      <c r="D5" s="8" t="n">
        <f aca="false">SUMPRODUCT(--(COUNTIF(maps!$A$2:$A$500,chapters!$G$2:$G$500)=0),--(chapters!$G$2:$G$500&lt;&gt;""))</f>
        <v>0</v>
      </c>
    </row>
    <row r="6" customFormat="false" ht="15" hidden="false" customHeight="true" outlineLevel="0" collapsed="false">
      <c r="A6" s="7" t="s">
        <v>653</v>
      </c>
      <c r="B6" s="7" t="s">
        <v>654</v>
      </c>
      <c r="C6" s="7" t="s">
        <v>73</v>
      </c>
      <c r="D6" s="8" t="n">
        <f aca="false">SUMPRODUCT(--(COUNTIF(sects!$A$2:$A$50,chapters!$H$2:$H$500)=0),--(chapters!$H$2:$H$500&lt;&gt;""))</f>
        <v>0</v>
      </c>
    </row>
    <row r="7" customFormat="false" ht="15" hidden="false" customHeight="true" outlineLevel="0" collapsed="false">
      <c r="A7" s="7" t="s">
        <v>655</v>
      </c>
      <c r="B7" s="7" t="s">
        <v>656</v>
      </c>
      <c r="C7" s="7" t="s">
        <v>73</v>
      </c>
      <c r="D7" s="8" t="n">
        <f aca="false">SUMPRODUCT(--(COUNTIF(classes!$A$2:$A$500,classes!$G$2:$G$500)=0),--(classes!$G$2:$G$500&lt;&gt;""))</f>
        <v>0</v>
      </c>
    </row>
    <row r="8" customFormat="false" ht="15" hidden="false" customHeight="true" outlineLevel="0" collapsed="false">
      <c r="A8" s="7" t="s">
        <v>657</v>
      </c>
      <c r="B8" s="7" t="s">
        <v>658</v>
      </c>
      <c r="C8" s="7" t="s">
        <v>73</v>
      </c>
      <c r="D8" s="8" t="n">
        <f aca="false">SUMPRODUCT(--(COUNTIF(enums!$G$2:$G$50,maps!$E$2:$E$500)=0),--(maps!$E$2:$E$500&lt;&gt;""))</f>
        <v>0</v>
      </c>
    </row>
    <row r="9" customFormat="false" ht="15" hidden="false" customHeight="true" outlineLevel="0" collapsed="false">
      <c r="A9" s="7" t="s">
        <v>659</v>
      </c>
      <c r="B9" s="7" t="s">
        <v>660</v>
      </c>
      <c r="C9" s="7" t="s">
        <v>73</v>
      </c>
      <c r="D9" s="8" t="n">
        <f aca="false">SUMPRODUCT(--(COUNTIF(chapters!$A$2:$A$500,scenes!$B$2:$B$999)=0),--(scenes!$B$2:$B$999&lt;&gt;""))</f>
        <v>0</v>
      </c>
    </row>
    <row r="10" customFormat="false" ht="15" hidden="false" customHeight="true" outlineLevel="0" collapsed="false">
      <c r="A10" s="7" t="s">
        <v>661</v>
      </c>
      <c r="B10" s="7" t="s">
        <v>662</v>
      </c>
      <c r="C10" s="7" t="s">
        <v>88</v>
      </c>
      <c r="D10" s="8" t="n">
        <f aca="false">MAX(0,24-COUNTIF(units!$C$2:$C$200,"recruitable"))</f>
        <v>8</v>
      </c>
    </row>
    <row r="11" customFormat="false" ht="15" hidden="false" customHeight="true" outlineLevel="0" collapsed="false">
      <c r="A11" s="7" t="s">
        <v>663</v>
      </c>
      <c r="B11" s="7" t="s">
        <v>664</v>
      </c>
      <c r="C11" s="7" t="s">
        <v>88</v>
      </c>
      <c r="D11" s="8" t="n">
        <f aca="false">SUMPRODUCT(--(growths!$A$2:$A$200&lt;&gt;""),--(LEFT(growths!$A$2:$A$200,8)&lt;&gt;"gp_jagen"),--(growths!$J$2:$J$200&gt;0),--((growths!$J$2:$J$200&lt;305)+(growths!$J$2:$J$200&gt;325)&gt;0))</f>
        <v>6</v>
      </c>
    </row>
    <row r="12" customFormat="false" ht="15" hidden="false" customHeight="true" outlineLevel="0" collapsed="false">
      <c r="A12" s="7" t="s">
        <v>665</v>
      </c>
      <c r="B12" s="7" t="s">
        <v>666</v>
      </c>
      <c r="C12" s="7" t="s">
        <v>103</v>
      </c>
      <c r="D12" s="8" t="n">
        <f aca="false">COUNTIF(sects!$I$2:$I$50,0)</f>
        <v>1</v>
      </c>
    </row>
    <row r="13" customFormat="false" ht="15" hidden="false" customHeight="true" outlineLevel="0" collapsed="false">
      <c r="A13" s="7" t="s">
        <v>667</v>
      </c>
      <c r="B13" s="7" t="s">
        <v>668</v>
      </c>
      <c r="C13" s="7" t="s">
        <v>88</v>
      </c>
      <c r="D13" s="8" t="n">
        <f aca="false">COUNTIFS(chapters!$B$2:$B$500,"2",chapters!$D$2:$D$500,"")</f>
        <v>0</v>
      </c>
    </row>
    <row r="14" customFormat="false" ht="15" hidden="false" customHeight="true" outlineLevel="0" collapsed="false">
      <c r="A14" s="7" t="s">
        <v>669</v>
      </c>
      <c r="B14" s="7" t="s">
        <v>670</v>
      </c>
      <c r="C14" s="7" t="s">
        <v>103</v>
      </c>
      <c r="D14" s="8" t="n">
        <f aca="false">COUNTIF(classes!$C$2:$C$500,"order")</f>
        <v>25</v>
      </c>
    </row>
    <row r="15" customFormat="false" ht="15" hidden="false" customHeight="true" outlineLevel="0" collapsed="false">
      <c r="A15" s="7" t="s">
        <v>671</v>
      </c>
      <c r="B15" s="7" t="s">
        <v>672</v>
      </c>
      <c r="C15" s="7" t="s">
        <v>103</v>
      </c>
      <c r="D15" s="8" t="n">
        <f aca="false">COUNTIF(maps!$E$2:$E$500,"escort")</f>
        <v>3</v>
      </c>
    </row>
    <row r="16" customFormat="false" ht="15" hidden="false" customHeight="true" outlineLevel="0" collapsed="false">
      <c r="A16" s="7" t="s">
        <v>673</v>
      </c>
      <c r="B16" s="7" t="s">
        <v>674</v>
      </c>
      <c r="C16" s="7" t="s">
        <v>88</v>
      </c>
      <c r="D16" s="7" t="n">
        <f aca="false">COUNTIF(chapters!$A$2:$A$500,"&lt;&gt;")-COUNTIF(chapters!$K$2:$K$500,"&lt;&gt;")</f>
        <v>0</v>
      </c>
    </row>
    <row r="17" customFormat="false" ht="15" hidden="false" customHeight="true" outlineLevel="0" collapsed="false">
      <c r="A17" s="7" t="s">
        <v>675</v>
      </c>
      <c r="B17" s="7" t="s">
        <v>676</v>
      </c>
      <c r="C17" s="7" t="s">
        <v>103</v>
      </c>
      <c r="D17" s="7" t="n">
        <f aca="false">COUNTIF(chapters!$K$2:$K$500,"warm")+COUNTIF(chapters!$K$2:$K$500,"wondrous")</f>
        <v>5</v>
      </c>
    </row>
    <row r="18" customFormat="false" ht="15" hidden="false" customHeight="true" outlineLevel="0" collapsed="false">
      <c r="A18" s="7" t="s">
        <v>677</v>
      </c>
      <c r="B18" s="7" t="s">
        <v>678</v>
      </c>
      <c r="C18" s="7" t="s">
        <v>88</v>
      </c>
      <c r="D18" s="7" t="n">
        <f aca="false">SUMPRODUCT(--(regions!$E$2:$E$50&lt;&gt;""),--(regions!$G$2:$G$50=""))</f>
        <v>2</v>
      </c>
    </row>
    <row r="19" customFormat="false" ht="15" hidden="false" customHeight="true" outlineLevel="0" collapsed="false">
      <c r="A19" s="7" t="s">
        <v>679</v>
      </c>
      <c r="B19" s="7" t="s">
        <v>680</v>
      </c>
      <c r="C19" s="7" t="s">
        <v>88</v>
      </c>
      <c r="D19" s="7" t="n">
        <f aca="false">SUMPRODUCT(--(regions!$E$2:$E$50&lt;&gt;""),--(regions!$F$2:$F$50=""))</f>
        <v>2</v>
      </c>
    </row>
    <row r="20" customFormat="false" ht="15" hidden="false" customHeight="true" outlineLevel="0" collapsed="false">
      <c r="A20" s="7" t="s">
        <v>681</v>
      </c>
      <c r="B20" s="7" t="s">
        <v>682</v>
      </c>
      <c r="C20" s="7" t="s">
        <v>73</v>
      </c>
      <c r="D20" s="7" t="n">
        <f aca="false">SUMPRODUCT(--(COUNTIF(regions!$A$2:$A$50,named!$C$2:$C$50)=0),--(named!$C$2:$C$50&lt;&gt;""))</f>
        <v>0</v>
      </c>
    </row>
    <row r="21" customFormat="false" ht="15" hidden="false" customHeight="true" outlineLevel="0" collapsed="false">
      <c r="A21" s="7" t="s">
        <v>683</v>
      </c>
      <c r="B21" s="7" t="s">
        <v>684</v>
      </c>
      <c r="C21" s="7" t="s">
        <v>73</v>
      </c>
      <c r="D21" s="7" t="n">
        <f aca="false">SUMPRODUCT(--(COUNTIF(named!$A$2:$A$50,regions!$I$2:$I$50)=0),--(regions!$I$2:$I$50&lt;&gt;""))</f>
        <v>0</v>
      </c>
    </row>
    <row r="22" customFormat="false" ht="15" hidden="false" customHeight="true" outlineLevel="0" collapsed="false">
      <c r="A22" s="7" t="s">
        <v>685</v>
      </c>
      <c r="B22" s="7" t="s">
        <v>686</v>
      </c>
      <c r="C22" s="7" t="s">
        <v>73</v>
      </c>
      <c r="D22" s="7" t="n">
        <f aca="false">SUMPRODUCT(--(COUNTIF(sects!$A$2:$A$50,regions!$H$2:$H$50)=0),--(regions!$H$2:$H$50&lt;&gt;""))</f>
        <v>0</v>
      </c>
    </row>
    <row r="23" customFormat="false" ht="15" hidden="false" customHeight="true" outlineLevel="0" collapsed="false">
      <c r="A23" s="7" t="s">
        <v>687</v>
      </c>
      <c r="B23" s="7" t="s">
        <v>688</v>
      </c>
      <c r="C23" s="7" t="s">
        <v>73</v>
      </c>
      <c r="D23" s="7" t="n">
        <f aca="false">COUNTIFS(maps!$K$2:$K$500,"&lt;2",maps!$K$2:$K$500,"&gt;0")</f>
        <v>0</v>
      </c>
    </row>
    <row r="24" customFormat="false" ht="15" hidden="false" customHeight="true" outlineLevel="0" collapsed="false">
      <c r="A24" s="7" t="s">
        <v>689</v>
      </c>
      <c r="B24" s="7" t="s">
        <v>690</v>
      </c>
      <c r="C24" s="7" t="s">
        <v>88</v>
      </c>
      <c r="D24" s="7" t="n">
        <f aca="false">SUMPRODUCT(--(LEFT(maps!$A$2:$A$500,4)="map_"),--(LEN(maps!$R$2:$R$500)-LEN(SUBSTITUTE(maps!$R$2:$R$500,"|",""))&lt;1))</f>
        <v>0</v>
      </c>
    </row>
    <row r="25" customFormat="false" ht="15" hidden="false" customHeight="true" outlineLevel="0" collapsed="false">
      <c r="A25" s="7" t="s">
        <v>691</v>
      </c>
      <c r="B25" s="7" t="s">
        <v>692</v>
      </c>
      <c r="C25" s="7" t="s">
        <v>73</v>
      </c>
      <c r="D25" s="7" t="n">
        <f aca="false">COUNTIFS(maps!$J$2:$J$500,"den",maps!$K$2:$K$500,"no")</f>
        <v>0</v>
      </c>
    </row>
    <row r="26" customFormat="false" ht="15" hidden="false" customHeight="true" outlineLevel="0" collapsed="false">
      <c r="A26" s="7" t="s">
        <v>693</v>
      </c>
      <c r="B26" s="7" t="s">
        <v>694</v>
      </c>
      <c r="C26" s="7" t="s">
        <v>88</v>
      </c>
      <c r="D26" s="7" t="n">
        <f aca="false">SUMPRODUCT(--(LEFT(maps!$A$2:$A$500,4)="map_"),--(maps!$J$2:$J$500=""))</f>
        <v>0</v>
      </c>
    </row>
    <row r="28" customFormat="false" ht="15" hidden="false" customHeight="true" outlineLevel="0" collapsed="false">
      <c r="B28" s="12" t="s">
        <v>695</v>
      </c>
      <c r="D28" s="13" t="n">
        <f aca="false">SUMIFS($D$2:$D$26,$C$2:$C$26,"blocking")</f>
        <v>0</v>
      </c>
    </row>
    <row r="30" customFormat="false" ht="15" hidden="false" customHeight="true" outlineLevel="0" collapsed="false">
      <c r="B30" s="10" t="s">
        <v>696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4"/>
    <col collapsed="false" customWidth="true" hidden="false" outlineLevel="0" max="3" min="3" style="1" width="11"/>
    <col collapsed="false" customWidth="true" hidden="false" outlineLevel="0" max="4" min="4" style="1" width="40"/>
    <col collapsed="false" customWidth="true" hidden="false" outlineLevel="0" max="5" min="5" style="1" width="38"/>
    <col collapsed="false" customWidth="true" hidden="false" outlineLevel="0" max="7" min="6" style="1" width="32"/>
    <col collapsed="false" customWidth="true" hidden="false" outlineLevel="0" max="8" min="8" style="1" width="18"/>
    <col collapsed="false" customWidth="true" hidden="false" outlineLevel="0" max="9" min="9" style="1" width="16"/>
    <col collapsed="false" customWidth="true" hidden="false" outlineLevel="0" max="10" min="10" style="1" width="52"/>
  </cols>
  <sheetData>
    <row r="1" customFormat="false" ht="30" hidden="false" customHeight="true" outlineLevel="0" collapsed="false">
      <c r="A1" s="4" t="s">
        <v>697</v>
      </c>
      <c r="B1" s="4" t="s">
        <v>189</v>
      </c>
      <c r="C1" s="4" t="s">
        <v>60</v>
      </c>
      <c r="D1" s="4" t="s">
        <v>698</v>
      </c>
      <c r="E1" s="4" t="s">
        <v>699</v>
      </c>
      <c r="F1" s="4" t="s">
        <v>700</v>
      </c>
      <c r="G1" s="4" t="s">
        <v>701</v>
      </c>
      <c r="H1" s="4" t="s">
        <v>702</v>
      </c>
      <c r="I1" s="4" t="s">
        <v>703</v>
      </c>
      <c r="J1" s="4" t="s">
        <v>704</v>
      </c>
    </row>
    <row r="2" customFormat="false" ht="34.5" hidden="false" customHeight="true" outlineLevel="0" collapsed="false">
      <c r="A2" s="7" t="s">
        <v>705</v>
      </c>
      <c r="B2" s="7" t="s">
        <v>706</v>
      </c>
      <c r="C2" s="7" t="s">
        <v>75</v>
      </c>
      <c r="D2" s="7" t="s">
        <v>707</v>
      </c>
      <c r="E2" s="7" t="s">
        <v>708</v>
      </c>
      <c r="F2" s="7"/>
      <c r="G2" s="7"/>
      <c r="H2" s="7" t="s">
        <v>113</v>
      </c>
      <c r="I2" s="7"/>
      <c r="J2" s="7" t="s">
        <v>709</v>
      </c>
    </row>
    <row r="3" customFormat="false" ht="34.5" hidden="false" customHeight="true" outlineLevel="0" collapsed="false">
      <c r="A3" s="7" t="s">
        <v>710</v>
      </c>
      <c r="B3" s="7" t="s">
        <v>162</v>
      </c>
      <c r="C3" s="7" t="s">
        <v>90</v>
      </c>
      <c r="D3" s="7" t="s">
        <v>711</v>
      </c>
      <c r="E3" s="7" t="s">
        <v>712</v>
      </c>
      <c r="F3" s="7" t="s">
        <v>713</v>
      </c>
      <c r="G3" s="7" t="s">
        <v>714</v>
      </c>
      <c r="H3" s="7" t="s">
        <v>85</v>
      </c>
      <c r="I3" s="7" t="s">
        <v>715</v>
      </c>
      <c r="J3" s="7" t="s">
        <v>716</v>
      </c>
    </row>
    <row r="4" customFormat="false" ht="34.5" hidden="false" customHeight="true" outlineLevel="0" collapsed="false">
      <c r="A4" s="7" t="s">
        <v>717</v>
      </c>
      <c r="B4" s="7" t="s">
        <v>718</v>
      </c>
      <c r="C4" s="7" t="s">
        <v>105</v>
      </c>
      <c r="D4" s="7" t="s">
        <v>719</v>
      </c>
      <c r="E4" s="7" t="s">
        <v>720</v>
      </c>
      <c r="F4" s="7" t="s">
        <v>721</v>
      </c>
      <c r="G4" s="7" t="s">
        <v>722</v>
      </c>
      <c r="H4" s="7" t="s">
        <v>70</v>
      </c>
      <c r="I4" s="7" t="s">
        <v>723</v>
      </c>
      <c r="J4" s="7" t="s">
        <v>724</v>
      </c>
    </row>
    <row r="5" customFormat="false" ht="23.25" hidden="false" customHeight="true" outlineLevel="0" collapsed="false">
      <c r="A5" s="7" t="s">
        <v>725</v>
      </c>
      <c r="B5" s="7" t="s">
        <v>726</v>
      </c>
      <c r="C5" s="7" t="s">
        <v>117</v>
      </c>
      <c r="D5" s="7" t="s">
        <v>727</v>
      </c>
      <c r="E5" s="7" t="s">
        <v>728</v>
      </c>
      <c r="F5" s="7" t="s">
        <v>729</v>
      </c>
      <c r="G5" s="7" t="s">
        <v>730</v>
      </c>
      <c r="H5" s="7" t="s">
        <v>100</v>
      </c>
      <c r="I5" s="7" t="s">
        <v>731</v>
      </c>
      <c r="J5" s="7" t="s">
        <v>732</v>
      </c>
    </row>
    <row r="6" customFormat="false" ht="34.5" hidden="false" customHeight="true" outlineLevel="0" collapsed="false">
      <c r="A6" s="7" t="s">
        <v>733</v>
      </c>
      <c r="B6" s="7" t="s">
        <v>183</v>
      </c>
      <c r="C6" s="7" t="s">
        <v>126</v>
      </c>
      <c r="D6" s="7" t="s">
        <v>734</v>
      </c>
      <c r="E6" s="7" t="s">
        <v>735</v>
      </c>
      <c r="F6" s="7" t="s">
        <v>736</v>
      </c>
      <c r="G6" s="7" t="s">
        <v>737</v>
      </c>
      <c r="H6" s="7" t="s">
        <v>123</v>
      </c>
      <c r="I6" s="7" t="s">
        <v>738</v>
      </c>
      <c r="J6" s="7" t="s">
        <v>739</v>
      </c>
    </row>
    <row r="7" customFormat="false" ht="23.25" hidden="false" customHeight="true" outlineLevel="0" collapsed="false">
      <c r="A7" s="7" t="s">
        <v>740</v>
      </c>
      <c r="B7" s="7" t="s">
        <v>741</v>
      </c>
      <c r="C7" s="7" t="s">
        <v>117</v>
      </c>
      <c r="D7" s="7" t="s">
        <v>742</v>
      </c>
      <c r="E7" s="7" t="s">
        <v>743</v>
      </c>
      <c r="F7" s="7"/>
      <c r="G7" s="7"/>
      <c r="H7" s="7" t="s">
        <v>100</v>
      </c>
      <c r="I7" s="7" t="s">
        <v>744</v>
      </c>
      <c r="J7" s="7" t="s">
        <v>745</v>
      </c>
    </row>
    <row r="9" customFormat="false" ht="15" hidden="false" customHeight="true" outlineLevel="0" collapsed="false">
      <c r="A9" s="10" t="s">
        <v>746</v>
      </c>
    </row>
    <row r="10" customFormat="false" ht="91" hidden="false" customHeight="false" outlineLevel="0" collapsed="false">
      <c r="A10" s="7" t="s">
        <v>747</v>
      </c>
      <c r="B10" s="7" t="s">
        <v>748</v>
      </c>
      <c r="C10" s="7" t="s">
        <v>105</v>
      </c>
      <c r="D10" s="7" t="s">
        <v>749</v>
      </c>
      <c r="E10" s="7" t="s">
        <v>750</v>
      </c>
      <c r="F10" s="7" t="s">
        <v>751</v>
      </c>
      <c r="G10" s="7" t="s">
        <v>752</v>
      </c>
      <c r="H10" s="7" t="s">
        <v>85</v>
      </c>
      <c r="I10" s="7"/>
      <c r="J10" s="7" t="s">
        <v>753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3" min="2" style="1" width="18"/>
    <col collapsed="false" customWidth="true" hidden="false" outlineLevel="0" max="4" min="4" style="1" width="20"/>
    <col collapsed="false" customWidth="true" hidden="false" outlineLevel="0" max="6" min="5" style="1" width="40"/>
    <col collapsed="false" customWidth="true" hidden="false" outlineLevel="0" max="8" min="7" style="1" width="44"/>
  </cols>
  <sheetData>
    <row r="1" customFormat="false" ht="30" hidden="false" customHeight="true" outlineLevel="0" collapsed="false">
      <c r="A1" s="4" t="s">
        <v>703</v>
      </c>
      <c r="B1" s="4" t="s">
        <v>189</v>
      </c>
      <c r="C1" s="4" t="s">
        <v>697</v>
      </c>
      <c r="D1" s="4" t="s">
        <v>754</v>
      </c>
      <c r="E1" s="4" t="s">
        <v>755</v>
      </c>
      <c r="F1" s="4" t="s">
        <v>756</v>
      </c>
      <c r="G1" s="4" t="s">
        <v>757</v>
      </c>
      <c r="H1" s="4" t="s">
        <v>151</v>
      </c>
    </row>
    <row r="2" customFormat="false" ht="23.25" hidden="false" customHeight="true" outlineLevel="0" collapsed="false">
      <c r="A2" s="7" t="s">
        <v>715</v>
      </c>
      <c r="B2" s="7" t="s">
        <v>758</v>
      </c>
      <c r="C2" s="7" t="s">
        <v>710</v>
      </c>
      <c r="D2" s="7" t="s">
        <v>759</v>
      </c>
      <c r="E2" s="7" t="s">
        <v>760</v>
      </c>
      <c r="F2" s="7" t="s">
        <v>761</v>
      </c>
      <c r="G2" s="7" t="s">
        <v>762</v>
      </c>
      <c r="H2" s="7" t="s">
        <v>763</v>
      </c>
    </row>
    <row r="3" customFormat="false" ht="34.5" hidden="false" customHeight="true" outlineLevel="0" collapsed="false">
      <c r="A3" s="7" t="s">
        <v>744</v>
      </c>
      <c r="B3" s="7" t="s">
        <v>764</v>
      </c>
      <c r="C3" s="7" t="s">
        <v>740</v>
      </c>
      <c r="D3" s="7" t="s">
        <v>765</v>
      </c>
      <c r="E3" s="7" t="s">
        <v>766</v>
      </c>
      <c r="F3" s="7" t="s">
        <v>767</v>
      </c>
      <c r="G3" s="7" t="s">
        <v>768</v>
      </c>
      <c r="H3" s="7" t="s">
        <v>769</v>
      </c>
    </row>
    <row r="4" customFormat="false" ht="23.25" hidden="false" customHeight="true" outlineLevel="0" collapsed="false">
      <c r="A4" s="7" t="s">
        <v>731</v>
      </c>
      <c r="B4" s="7" t="s">
        <v>770</v>
      </c>
      <c r="C4" s="7" t="s">
        <v>725</v>
      </c>
      <c r="D4" s="7" t="s">
        <v>771</v>
      </c>
      <c r="E4" s="7" t="s">
        <v>772</v>
      </c>
      <c r="F4" s="7" t="s">
        <v>773</v>
      </c>
      <c r="G4" s="7" t="s">
        <v>774</v>
      </c>
      <c r="H4" s="7" t="s">
        <v>775</v>
      </c>
    </row>
    <row r="5" customFormat="false" ht="23.25" hidden="false" customHeight="true" outlineLevel="0" collapsed="false">
      <c r="A5" s="7" t="s">
        <v>723</v>
      </c>
      <c r="B5" s="7" t="s">
        <v>776</v>
      </c>
      <c r="C5" s="7" t="s">
        <v>717</v>
      </c>
      <c r="D5" s="7" t="s">
        <v>777</v>
      </c>
      <c r="E5" s="7" t="s">
        <v>778</v>
      </c>
      <c r="F5" s="7" t="s">
        <v>779</v>
      </c>
      <c r="G5" s="7" t="s">
        <v>780</v>
      </c>
      <c r="H5" s="7" t="s">
        <v>781</v>
      </c>
    </row>
    <row r="6" customFormat="false" ht="23.25" hidden="false" customHeight="true" outlineLevel="0" collapsed="false">
      <c r="A6" s="7" t="s">
        <v>738</v>
      </c>
      <c r="B6" s="7" t="s">
        <v>782</v>
      </c>
      <c r="C6" s="7" t="s">
        <v>733</v>
      </c>
      <c r="D6" s="7" t="s">
        <v>783</v>
      </c>
      <c r="E6" s="7" t="s">
        <v>784</v>
      </c>
      <c r="F6" s="7" t="s">
        <v>785</v>
      </c>
      <c r="G6" s="7" t="s">
        <v>786</v>
      </c>
      <c r="H6" s="7" t="s">
        <v>787</v>
      </c>
    </row>
    <row r="8" customFormat="false" ht="15" hidden="false" customHeight="true" outlineLevel="0" collapsed="false">
      <c r="A8" s="10" t="s">
        <v>788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14"/>
    <col collapsed="false" customWidth="true" hidden="false" outlineLevel="0" max="4" min="4" style="1" width="34"/>
    <col collapsed="false" customWidth="true" hidden="false" outlineLevel="0" max="6" min="5" style="1" width="44"/>
    <col collapsed="false" customWidth="true" hidden="false" outlineLevel="0" max="7" min="7" style="1" width="16"/>
  </cols>
  <sheetData>
    <row r="1" customFormat="false" ht="30" hidden="false" customHeight="true" outlineLevel="0" collapsed="false">
      <c r="A1" s="4" t="s">
        <v>789</v>
      </c>
      <c r="B1" s="4" t="s">
        <v>189</v>
      </c>
      <c r="C1" s="4" t="s">
        <v>147</v>
      </c>
      <c r="D1" s="4" t="s">
        <v>790</v>
      </c>
      <c r="E1" s="4" t="s">
        <v>791</v>
      </c>
      <c r="F1" s="4" t="s">
        <v>698</v>
      </c>
      <c r="G1" s="4" t="s">
        <v>792</v>
      </c>
    </row>
    <row r="2" customFormat="false" ht="23.25" hidden="false" customHeight="true" outlineLevel="0" collapsed="false">
      <c r="A2" s="7" t="s">
        <v>793</v>
      </c>
      <c r="B2" s="7" t="s">
        <v>794</v>
      </c>
      <c r="C2" s="7" t="s">
        <v>795</v>
      </c>
      <c r="D2" s="7" t="s">
        <v>796</v>
      </c>
      <c r="E2" s="7" t="s">
        <v>797</v>
      </c>
      <c r="F2" s="7" t="s">
        <v>707</v>
      </c>
      <c r="G2" s="7" t="s">
        <v>113</v>
      </c>
    </row>
    <row r="3" customFormat="false" ht="23.25" hidden="false" customHeight="true" outlineLevel="0" collapsed="false">
      <c r="A3" s="7" t="s">
        <v>798</v>
      </c>
      <c r="B3" s="7" t="s">
        <v>799</v>
      </c>
      <c r="C3" s="7" t="s">
        <v>800</v>
      </c>
      <c r="D3" s="7" t="s">
        <v>801</v>
      </c>
      <c r="E3" s="7" t="s">
        <v>802</v>
      </c>
      <c r="F3" s="7" t="s">
        <v>803</v>
      </c>
      <c r="G3" s="7" t="s">
        <v>113</v>
      </c>
    </row>
    <row r="5" customFormat="false" ht="15" hidden="false" customHeight="true" outlineLevel="0" collapsed="false">
      <c r="A5" s="10" t="s">
        <v>804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11"/>
    <col collapsed="false" customWidth="true" hidden="false" outlineLevel="0" max="4" min="4" style="1" width="12"/>
    <col collapsed="false" customWidth="true" hidden="false" outlineLevel="0" max="5" min="5" style="1" width="8"/>
    <col collapsed="false" customWidth="true" hidden="false" outlineLevel="0" max="6" min="6" style="1" width="38"/>
    <col collapsed="false" customWidth="true" hidden="false" outlineLevel="0" max="7" min="7" style="1" width="40"/>
    <col collapsed="false" customWidth="true" hidden="false" outlineLevel="0" max="8" min="8" style="1" width="15"/>
    <col collapsed="false" customWidth="true" hidden="false" outlineLevel="0" max="9" min="9" style="1" width="44"/>
  </cols>
  <sheetData>
    <row r="1" customFormat="false" ht="30" hidden="false" customHeight="true" outlineLevel="0" collapsed="false">
      <c r="A1" s="4" t="s">
        <v>805</v>
      </c>
      <c r="B1" s="4" t="s">
        <v>368</v>
      </c>
      <c r="C1" s="4" t="s">
        <v>48</v>
      </c>
      <c r="D1" s="4" t="s">
        <v>806</v>
      </c>
      <c r="E1" s="4" t="s">
        <v>49</v>
      </c>
      <c r="F1" s="4" t="s">
        <v>807</v>
      </c>
      <c r="G1" s="4" t="s">
        <v>541</v>
      </c>
      <c r="H1" s="4" t="s">
        <v>808</v>
      </c>
      <c r="I1" s="4" t="s">
        <v>809</v>
      </c>
    </row>
    <row r="2" customFormat="false" ht="23.25" hidden="false" customHeight="true" outlineLevel="0" collapsed="false">
      <c r="A2" s="7" t="s">
        <v>810</v>
      </c>
      <c r="B2" s="7" t="s">
        <v>399</v>
      </c>
      <c r="C2" s="7" t="s">
        <v>63</v>
      </c>
      <c r="D2" s="7" t="s">
        <v>811</v>
      </c>
      <c r="E2" s="7" t="s">
        <v>812</v>
      </c>
      <c r="F2" s="7" t="s">
        <v>813</v>
      </c>
      <c r="G2" s="7" t="s">
        <v>814</v>
      </c>
      <c r="H2" s="7" t="s">
        <v>380</v>
      </c>
      <c r="I2" s="7" t="s">
        <v>815</v>
      </c>
    </row>
    <row r="3" customFormat="false" ht="23.25" hidden="false" customHeight="true" outlineLevel="0" collapsed="false">
      <c r="A3" s="7" t="s">
        <v>816</v>
      </c>
      <c r="B3" s="7" t="s">
        <v>424</v>
      </c>
      <c r="C3" s="7" t="s">
        <v>78</v>
      </c>
      <c r="D3" s="7" t="s">
        <v>811</v>
      </c>
      <c r="E3" s="7" t="s">
        <v>812</v>
      </c>
      <c r="F3" s="7" t="s">
        <v>817</v>
      </c>
      <c r="G3" s="7" t="s">
        <v>818</v>
      </c>
      <c r="H3" s="7" t="s">
        <v>380</v>
      </c>
      <c r="I3" s="7" t="s">
        <v>819</v>
      </c>
    </row>
    <row r="4" customFormat="false" ht="23.25" hidden="false" customHeight="true" outlineLevel="0" collapsed="false">
      <c r="A4" s="7" t="s">
        <v>820</v>
      </c>
      <c r="B4" s="7" t="s">
        <v>406</v>
      </c>
      <c r="C4" s="7" t="s">
        <v>78</v>
      </c>
      <c r="D4" s="7" t="s">
        <v>821</v>
      </c>
      <c r="E4" s="7" t="s">
        <v>812</v>
      </c>
      <c r="F4" s="7" t="s">
        <v>822</v>
      </c>
      <c r="G4" s="7" t="s">
        <v>823</v>
      </c>
      <c r="H4" s="7" t="s">
        <v>386</v>
      </c>
      <c r="I4" s="7" t="s">
        <v>824</v>
      </c>
    </row>
    <row r="6" customFormat="false" ht="15" hidden="false" customHeight="true" outlineLevel="0" collapsed="false">
      <c r="A6" s="10" t="s">
        <v>825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4"/>
    <col collapsed="false" customWidth="true" hidden="false" outlineLevel="0" max="3" min="3" style="1" width="20"/>
    <col collapsed="false" customWidth="true" hidden="false" outlineLevel="0" max="4" min="4" style="1" width="11"/>
    <col collapsed="false" customWidth="true" hidden="false" outlineLevel="0" max="5" min="5" style="1" width="14"/>
    <col collapsed="false" customWidth="true" hidden="false" outlineLevel="0" max="6" min="6" style="1" width="12"/>
    <col collapsed="false" customWidth="true" hidden="false" outlineLevel="0" max="7" min="7" style="1" width="62"/>
  </cols>
  <sheetData>
    <row r="1" customFormat="false" ht="30" hidden="false" customHeight="true" outlineLevel="0" collapsed="false">
      <c r="A1" s="4" t="s">
        <v>826</v>
      </c>
      <c r="B1" s="4" t="s">
        <v>189</v>
      </c>
      <c r="C1" s="4" t="s">
        <v>697</v>
      </c>
      <c r="D1" s="4" t="s">
        <v>48</v>
      </c>
      <c r="E1" s="4" t="s">
        <v>827</v>
      </c>
      <c r="F1" s="4" t="s">
        <v>828</v>
      </c>
      <c r="G1" s="4" t="s">
        <v>829</v>
      </c>
    </row>
    <row r="2" customFormat="false" ht="15" hidden="false" customHeight="true" outlineLevel="0" collapsed="false">
      <c r="A2" s="7" t="s">
        <v>830</v>
      </c>
      <c r="B2" s="7" t="s">
        <v>831</v>
      </c>
      <c r="C2" s="7" t="s">
        <v>705</v>
      </c>
      <c r="D2" s="7" t="s">
        <v>63</v>
      </c>
      <c r="E2" s="7" t="s">
        <v>832</v>
      </c>
      <c r="F2" s="7" t="s">
        <v>833</v>
      </c>
      <c r="G2" s="7" t="s">
        <v>834</v>
      </c>
    </row>
    <row r="3" customFormat="false" ht="15" hidden="false" customHeight="true" outlineLevel="0" collapsed="false">
      <c r="A3" s="7" t="s">
        <v>835</v>
      </c>
      <c r="B3" s="7" t="s">
        <v>836</v>
      </c>
      <c r="C3" s="7" t="s">
        <v>705</v>
      </c>
      <c r="D3" s="7" t="s">
        <v>63</v>
      </c>
      <c r="E3" s="7" t="s">
        <v>94</v>
      </c>
      <c r="F3" s="7" t="s">
        <v>79</v>
      </c>
      <c r="G3" s="7" t="s">
        <v>837</v>
      </c>
    </row>
    <row r="4" customFormat="false" ht="15" hidden="false" customHeight="true" outlineLevel="0" collapsed="false">
      <c r="A4" s="7" t="s">
        <v>838</v>
      </c>
      <c r="B4" s="7" t="s">
        <v>474</v>
      </c>
      <c r="C4" s="7" t="s">
        <v>705</v>
      </c>
      <c r="D4" s="7" t="s">
        <v>63</v>
      </c>
      <c r="E4" s="7" t="s">
        <v>839</v>
      </c>
      <c r="F4" s="7" t="s">
        <v>833</v>
      </c>
      <c r="G4" s="7" t="s">
        <v>840</v>
      </c>
    </row>
    <row r="5" customFormat="false" ht="15" hidden="false" customHeight="true" outlineLevel="0" collapsed="false">
      <c r="A5" s="7" t="s">
        <v>841</v>
      </c>
      <c r="B5" s="7" t="s">
        <v>842</v>
      </c>
      <c r="C5" s="7" t="s">
        <v>705</v>
      </c>
      <c r="D5" s="7" t="s">
        <v>63</v>
      </c>
      <c r="E5" s="7" t="s">
        <v>843</v>
      </c>
      <c r="F5" s="7" t="s">
        <v>79</v>
      </c>
      <c r="G5" s="7" t="s">
        <v>844</v>
      </c>
    </row>
    <row r="6" customFormat="false" ht="15" hidden="false" customHeight="true" outlineLevel="0" collapsed="false">
      <c r="A6" s="7" t="s">
        <v>845</v>
      </c>
      <c r="B6" s="7" t="s">
        <v>846</v>
      </c>
      <c r="C6" s="7" t="s">
        <v>705</v>
      </c>
      <c r="D6" s="7" t="s">
        <v>63</v>
      </c>
      <c r="E6" s="7" t="s">
        <v>847</v>
      </c>
      <c r="F6" s="7" t="s">
        <v>833</v>
      </c>
      <c r="G6" s="7" t="s">
        <v>848</v>
      </c>
    </row>
    <row r="7" customFormat="false" ht="15" hidden="false" customHeight="true" outlineLevel="0" collapsed="false">
      <c r="A7" s="7" t="s">
        <v>849</v>
      </c>
      <c r="B7" s="7" t="s">
        <v>850</v>
      </c>
      <c r="C7" s="7" t="s">
        <v>733</v>
      </c>
      <c r="D7" s="7" t="s">
        <v>63</v>
      </c>
      <c r="E7" s="7" t="s">
        <v>851</v>
      </c>
      <c r="F7" s="7" t="s">
        <v>79</v>
      </c>
      <c r="G7" s="7" t="s">
        <v>852</v>
      </c>
    </row>
    <row r="8" customFormat="false" ht="15" hidden="false" customHeight="true" outlineLevel="0" collapsed="false">
      <c r="A8" s="7" t="s">
        <v>853</v>
      </c>
      <c r="B8" s="7" t="s">
        <v>854</v>
      </c>
      <c r="C8" s="7" t="s">
        <v>733</v>
      </c>
      <c r="D8" s="7" t="s">
        <v>63</v>
      </c>
      <c r="E8" s="7" t="s">
        <v>855</v>
      </c>
      <c r="F8" s="7" t="s">
        <v>79</v>
      </c>
      <c r="G8" s="7" t="s">
        <v>856</v>
      </c>
    </row>
    <row r="9" customFormat="false" ht="15" hidden="false" customHeight="true" outlineLevel="0" collapsed="false">
      <c r="A9" s="7" t="s">
        <v>857</v>
      </c>
      <c r="B9" s="7" t="s">
        <v>858</v>
      </c>
      <c r="C9" s="7" t="s">
        <v>705</v>
      </c>
      <c r="D9" s="7" t="s">
        <v>63</v>
      </c>
      <c r="E9" s="7" t="s">
        <v>859</v>
      </c>
      <c r="F9" s="7" t="s">
        <v>833</v>
      </c>
      <c r="G9" s="7" t="s">
        <v>860</v>
      </c>
    </row>
    <row r="10" customFormat="false" ht="15" hidden="false" customHeight="true" outlineLevel="0" collapsed="false">
      <c r="A10" s="7" t="s">
        <v>861</v>
      </c>
      <c r="B10" s="7" t="s">
        <v>862</v>
      </c>
      <c r="C10" s="7" t="s">
        <v>717</v>
      </c>
      <c r="D10" s="7" t="s">
        <v>63</v>
      </c>
      <c r="E10" s="7" t="s">
        <v>863</v>
      </c>
      <c r="F10" s="7" t="s">
        <v>79</v>
      </c>
      <c r="G10" s="7" t="s">
        <v>864</v>
      </c>
    </row>
    <row r="11" customFormat="false" ht="15" hidden="false" customHeight="true" outlineLevel="0" collapsed="false">
      <c r="A11" s="7" t="s">
        <v>865</v>
      </c>
      <c r="B11" s="7" t="s">
        <v>866</v>
      </c>
      <c r="C11" s="7" t="s">
        <v>717</v>
      </c>
      <c r="D11" s="7" t="s">
        <v>63</v>
      </c>
      <c r="E11" s="7" t="s">
        <v>867</v>
      </c>
      <c r="F11" s="7" t="s">
        <v>868</v>
      </c>
      <c r="G11" s="7" t="s">
        <v>869</v>
      </c>
    </row>
    <row r="12" customFormat="false" ht="15" hidden="false" customHeight="true" outlineLevel="0" collapsed="false">
      <c r="A12" s="7" t="s">
        <v>870</v>
      </c>
      <c r="B12" s="7" t="s">
        <v>871</v>
      </c>
      <c r="C12" s="7" t="s">
        <v>710</v>
      </c>
      <c r="D12" s="7" t="s">
        <v>78</v>
      </c>
      <c r="E12" s="7" t="s">
        <v>832</v>
      </c>
      <c r="F12" s="7" t="s">
        <v>833</v>
      </c>
      <c r="G12" s="7" t="s">
        <v>872</v>
      </c>
    </row>
    <row r="13" customFormat="false" ht="15" hidden="false" customHeight="true" outlineLevel="0" collapsed="false">
      <c r="A13" s="7" t="s">
        <v>873</v>
      </c>
      <c r="B13" s="7" t="s">
        <v>874</v>
      </c>
      <c r="C13" s="7" t="s">
        <v>710</v>
      </c>
      <c r="D13" s="7" t="s">
        <v>78</v>
      </c>
      <c r="E13" s="7" t="s">
        <v>94</v>
      </c>
      <c r="F13" s="7" t="s">
        <v>79</v>
      </c>
      <c r="G13" s="7" t="s">
        <v>875</v>
      </c>
    </row>
    <row r="14" customFormat="false" ht="15" hidden="false" customHeight="true" outlineLevel="0" collapsed="false">
      <c r="A14" s="7" t="s">
        <v>876</v>
      </c>
      <c r="B14" s="7" t="s">
        <v>877</v>
      </c>
      <c r="C14" s="7" t="s">
        <v>710</v>
      </c>
      <c r="D14" s="7" t="s">
        <v>78</v>
      </c>
      <c r="E14" s="7" t="s">
        <v>108</v>
      </c>
      <c r="F14" s="7" t="s">
        <v>79</v>
      </c>
      <c r="G14" s="7" t="s">
        <v>878</v>
      </c>
    </row>
    <row r="15" customFormat="false" ht="15" hidden="false" customHeight="true" outlineLevel="0" collapsed="false">
      <c r="A15" s="7" t="s">
        <v>879</v>
      </c>
      <c r="B15" s="7" t="s">
        <v>880</v>
      </c>
      <c r="C15" s="7" t="s">
        <v>710</v>
      </c>
      <c r="D15" s="7" t="s">
        <v>78</v>
      </c>
      <c r="E15" s="7" t="s">
        <v>843</v>
      </c>
      <c r="F15" s="7" t="s">
        <v>79</v>
      </c>
      <c r="G15" s="7" t="s">
        <v>881</v>
      </c>
    </row>
    <row r="16" customFormat="false" ht="15" hidden="false" customHeight="true" outlineLevel="0" collapsed="false">
      <c r="A16" s="7" t="s">
        <v>882</v>
      </c>
      <c r="B16" s="7" t="s">
        <v>883</v>
      </c>
      <c r="C16" s="7" t="s">
        <v>710</v>
      </c>
      <c r="D16" s="7" t="s">
        <v>78</v>
      </c>
      <c r="E16" s="7" t="s">
        <v>884</v>
      </c>
      <c r="F16" s="7" t="s">
        <v>833</v>
      </c>
      <c r="G16" s="7" t="s">
        <v>885</v>
      </c>
    </row>
    <row r="17" customFormat="false" ht="15" hidden="false" customHeight="true" outlineLevel="0" collapsed="false">
      <c r="A17" s="7" t="s">
        <v>886</v>
      </c>
      <c r="B17" s="7" t="s">
        <v>887</v>
      </c>
      <c r="C17" s="7" t="s">
        <v>710</v>
      </c>
      <c r="D17" s="7" t="s">
        <v>78</v>
      </c>
      <c r="E17" s="7" t="s">
        <v>851</v>
      </c>
      <c r="F17" s="7" t="s">
        <v>79</v>
      </c>
      <c r="G17" s="7" t="s">
        <v>888</v>
      </c>
    </row>
    <row r="18" customFormat="false" ht="15" hidden="false" customHeight="true" outlineLevel="0" collapsed="false">
      <c r="A18" s="7" t="s">
        <v>889</v>
      </c>
      <c r="B18" s="7" t="s">
        <v>890</v>
      </c>
      <c r="C18" s="7" t="s">
        <v>710</v>
      </c>
      <c r="D18" s="7" t="s">
        <v>78</v>
      </c>
      <c r="E18" s="7" t="s">
        <v>891</v>
      </c>
      <c r="F18" s="7" t="s">
        <v>833</v>
      </c>
      <c r="G18" s="7" t="s">
        <v>892</v>
      </c>
    </row>
    <row r="19" customFormat="false" ht="15" hidden="false" customHeight="true" outlineLevel="0" collapsed="false">
      <c r="A19" s="7" t="s">
        <v>893</v>
      </c>
      <c r="B19" s="7" t="s">
        <v>894</v>
      </c>
      <c r="C19" s="7" t="s">
        <v>710</v>
      </c>
      <c r="D19" s="7" t="s">
        <v>78</v>
      </c>
      <c r="E19" s="7" t="s">
        <v>859</v>
      </c>
      <c r="F19" s="7" t="s">
        <v>833</v>
      </c>
      <c r="G19" s="7" t="s">
        <v>895</v>
      </c>
    </row>
    <row r="20" customFormat="false" ht="15" hidden="false" customHeight="true" outlineLevel="0" collapsed="false">
      <c r="A20" s="7" t="s">
        <v>896</v>
      </c>
      <c r="B20" s="7" t="s">
        <v>897</v>
      </c>
      <c r="C20" s="7" t="s">
        <v>710</v>
      </c>
      <c r="D20" s="7" t="s">
        <v>78</v>
      </c>
      <c r="E20" s="7" t="s">
        <v>863</v>
      </c>
      <c r="F20" s="7" t="s">
        <v>79</v>
      </c>
      <c r="G20" s="7" t="s">
        <v>898</v>
      </c>
    </row>
    <row r="21" customFormat="false" ht="15" hidden="false" customHeight="true" outlineLevel="0" collapsed="false">
      <c r="A21" s="7" t="s">
        <v>899</v>
      </c>
      <c r="B21" s="7" t="s">
        <v>900</v>
      </c>
      <c r="C21" s="7" t="s">
        <v>710</v>
      </c>
      <c r="D21" s="7" t="s">
        <v>78</v>
      </c>
      <c r="E21" s="7" t="s">
        <v>867</v>
      </c>
      <c r="F21" s="7" t="s">
        <v>868</v>
      </c>
      <c r="G21" s="7" t="s">
        <v>901</v>
      </c>
    </row>
    <row r="22" customFormat="false" ht="15" hidden="false" customHeight="true" outlineLevel="0" collapsed="false">
      <c r="A22" s="7" t="s">
        <v>902</v>
      </c>
      <c r="B22" s="7" t="s">
        <v>903</v>
      </c>
      <c r="C22" s="7" t="s">
        <v>705</v>
      </c>
      <c r="D22" s="7" t="s">
        <v>93</v>
      </c>
      <c r="E22" s="7" t="s">
        <v>904</v>
      </c>
      <c r="F22" s="7" t="s">
        <v>905</v>
      </c>
      <c r="G22" s="7" t="s">
        <v>906</v>
      </c>
    </row>
    <row r="23" customFormat="false" ht="15" hidden="false" customHeight="true" outlineLevel="0" collapsed="false">
      <c r="A23" s="7" t="s">
        <v>907</v>
      </c>
      <c r="B23" s="7" t="s">
        <v>908</v>
      </c>
      <c r="C23" s="7" t="s">
        <v>717</v>
      </c>
      <c r="D23" s="7" t="s">
        <v>93</v>
      </c>
      <c r="E23" s="7" t="s">
        <v>909</v>
      </c>
      <c r="F23" s="7" t="s">
        <v>94</v>
      </c>
      <c r="G23" s="7" t="s">
        <v>910</v>
      </c>
    </row>
    <row r="24" customFormat="false" ht="15" hidden="false" customHeight="true" outlineLevel="0" collapsed="false">
      <c r="A24" s="7" t="s">
        <v>911</v>
      </c>
      <c r="B24" s="7" t="s">
        <v>912</v>
      </c>
      <c r="C24" s="7" t="s">
        <v>740</v>
      </c>
      <c r="D24" s="7" t="s">
        <v>93</v>
      </c>
      <c r="E24" s="7" t="s">
        <v>913</v>
      </c>
      <c r="F24" s="7" t="s">
        <v>94</v>
      </c>
      <c r="G24" s="7" t="s">
        <v>914</v>
      </c>
    </row>
    <row r="25" customFormat="false" ht="15" hidden="false" customHeight="true" outlineLevel="0" collapsed="false">
      <c r="A25" s="7" t="s">
        <v>915</v>
      </c>
      <c r="B25" s="7" t="s">
        <v>916</v>
      </c>
      <c r="C25" s="7" t="s">
        <v>740</v>
      </c>
      <c r="D25" s="7" t="s">
        <v>93</v>
      </c>
      <c r="E25" s="7" t="s">
        <v>917</v>
      </c>
      <c r="F25" s="7" t="s">
        <v>94</v>
      </c>
      <c r="G25" s="7" t="s">
        <v>918</v>
      </c>
    </row>
    <row r="26" customFormat="false" ht="15" hidden="false" customHeight="true" outlineLevel="0" collapsed="false">
      <c r="A26" s="7" t="s">
        <v>919</v>
      </c>
      <c r="B26" s="7" t="s">
        <v>920</v>
      </c>
      <c r="C26" s="7" t="s">
        <v>725</v>
      </c>
      <c r="D26" s="7" t="s">
        <v>93</v>
      </c>
      <c r="E26" s="7" t="s">
        <v>921</v>
      </c>
      <c r="F26" s="7" t="s">
        <v>905</v>
      </c>
      <c r="G26" s="7" t="s">
        <v>922</v>
      </c>
    </row>
    <row r="27" customFormat="false" ht="15" hidden="false" customHeight="true" outlineLevel="0" collapsed="false">
      <c r="A27" s="7" t="s">
        <v>923</v>
      </c>
      <c r="B27" s="7" t="s">
        <v>924</v>
      </c>
      <c r="C27" s="7" t="s">
        <v>705</v>
      </c>
      <c r="D27" s="7" t="s">
        <v>93</v>
      </c>
      <c r="E27" s="7" t="s">
        <v>925</v>
      </c>
      <c r="F27" s="7" t="s">
        <v>94</v>
      </c>
      <c r="G27" s="7" t="s">
        <v>926</v>
      </c>
    </row>
    <row r="28" customFormat="false" ht="15" hidden="false" customHeight="true" outlineLevel="0" collapsed="false">
      <c r="A28" s="7" t="s">
        <v>927</v>
      </c>
      <c r="B28" s="7" t="s">
        <v>928</v>
      </c>
      <c r="C28" s="7" t="s">
        <v>705</v>
      </c>
      <c r="D28" s="7" t="s">
        <v>93</v>
      </c>
      <c r="E28" s="7" t="s">
        <v>929</v>
      </c>
      <c r="F28" s="7" t="s">
        <v>108</v>
      </c>
      <c r="G28" s="7" t="s">
        <v>930</v>
      </c>
    </row>
    <row r="29" customFormat="false" ht="15" hidden="false" customHeight="true" outlineLevel="0" collapsed="false">
      <c r="A29" s="7" t="s">
        <v>931</v>
      </c>
      <c r="B29" s="7" t="s">
        <v>932</v>
      </c>
      <c r="C29" s="7" t="s">
        <v>710</v>
      </c>
      <c r="D29" s="7" t="s">
        <v>93</v>
      </c>
      <c r="E29" s="7" t="s">
        <v>933</v>
      </c>
      <c r="F29" s="7" t="s">
        <v>119</v>
      </c>
      <c r="G29" s="7" t="s">
        <v>934</v>
      </c>
    </row>
    <row r="30" customFormat="false" ht="15" hidden="false" customHeight="true" outlineLevel="0" collapsed="false">
      <c r="A30" s="7" t="s">
        <v>935</v>
      </c>
      <c r="B30" s="7" t="s">
        <v>936</v>
      </c>
      <c r="C30" s="7" t="s">
        <v>717</v>
      </c>
      <c r="D30" s="7" t="s">
        <v>93</v>
      </c>
      <c r="E30" s="7" t="s">
        <v>933</v>
      </c>
      <c r="F30" s="7" t="s">
        <v>119</v>
      </c>
      <c r="G30" s="7" t="s">
        <v>937</v>
      </c>
    </row>
    <row r="31" customFormat="false" ht="15" hidden="false" customHeight="true" outlineLevel="0" collapsed="false">
      <c r="A31" s="7" t="s">
        <v>938</v>
      </c>
      <c r="B31" s="7" t="s">
        <v>939</v>
      </c>
      <c r="C31" s="7" t="s">
        <v>725</v>
      </c>
      <c r="D31" s="7" t="s">
        <v>93</v>
      </c>
      <c r="E31" s="7" t="s">
        <v>933</v>
      </c>
      <c r="F31" s="7" t="s">
        <v>119</v>
      </c>
      <c r="G31" s="7" t="s">
        <v>940</v>
      </c>
    </row>
    <row r="32" customFormat="false" ht="15" hidden="false" customHeight="true" outlineLevel="0" collapsed="false">
      <c r="A32" s="7" t="s">
        <v>941</v>
      </c>
      <c r="B32" s="7" t="s">
        <v>942</v>
      </c>
      <c r="C32" s="7" t="s">
        <v>733</v>
      </c>
      <c r="D32" s="7" t="s">
        <v>93</v>
      </c>
      <c r="E32" s="7" t="s">
        <v>933</v>
      </c>
      <c r="F32" s="7" t="s">
        <v>119</v>
      </c>
      <c r="G32" s="7" t="s">
        <v>943</v>
      </c>
    </row>
    <row r="33" customFormat="false" ht="15" hidden="false" customHeight="true" outlineLevel="0" collapsed="false">
      <c r="A33" s="7" t="s">
        <v>944</v>
      </c>
      <c r="B33" s="7" t="s">
        <v>945</v>
      </c>
      <c r="C33" s="7" t="s">
        <v>740</v>
      </c>
      <c r="D33" s="7" t="s">
        <v>93</v>
      </c>
      <c r="E33" s="7" t="s">
        <v>933</v>
      </c>
      <c r="F33" s="7" t="s">
        <v>119</v>
      </c>
      <c r="G33" s="7" t="s">
        <v>946</v>
      </c>
    </row>
    <row r="34" customFormat="false" ht="15" hidden="false" customHeight="true" outlineLevel="0" collapsed="false">
      <c r="A34" s="7" t="s">
        <v>947</v>
      </c>
      <c r="B34" s="7" t="s">
        <v>948</v>
      </c>
      <c r="C34" s="7" t="s">
        <v>733</v>
      </c>
      <c r="D34" s="7" t="s">
        <v>93</v>
      </c>
      <c r="E34" s="7" t="s">
        <v>933</v>
      </c>
      <c r="F34" s="7" t="s">
        <v>119</v>
      </c>
      <c r="G34" s="7" t="s">
        <v>949</v>
      </c>
    </row>
    <row r="35" customFormat="false" ht="15" hidden="false" customHeight="true" outlineLevel="0" collapsed="false">
      <c r="A35" s="7" t="s">
        <v>950</v>
      </c>
      <c r="B35" s="7" t="s">
        <v>951</v>
      </c>
      <c r="C35" s="7" t="s">
        <v>710</v>
      </c>
      <c r="D35" s="7" t="s">
        <v>93</v>
      </c>
      <c r="E35" s="7" t="s">
        <v>933</v>
      </c>
      <c r="F35" s="7" t="s">
        <v>119</v>
      </c>
      <c r="G35" s="7" t="s">
        <v>952</v>
      </c>
    </row>
    <row r="36" customFormat="false" ht="15" hidden="false" customHeight="true" outlineLevel="0" collapsed="false">
      <c r="A36" s="7" t="s">
        <v>953</v>
      </c>
      <c r="B36" s="7" t="s">
        <v>954</v>
      </c>
      <c r="C36" s="7" t="s">
        <v>717</v>
      </c>
      <c r="D36" s="7" t="s">
        <v>93</v>
      </c>
      <c r="E36" s="7" t="s">
        <v>933</v>
      </c>
      <c r="F36" s="7" t="s">
        <v>119</v>
      </c>
      <c r="G36" s="7" t="s">
        <v>955</v>
      </c>
    </row>
    <row r="38" customFormat="false" ht="15" hidden="false" customHeight="true" outlineLevel="0" collapsed="false">
      <c r="A38" s="10" t="s">
        <v>956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0"/>
    <col collapsed="false" customWidth="true" hidden="false" outlineLevel="0" max="3" min="3" style="1" width="30"/>
    <col collapsed="false" customWidth="true" hidden="false" outlineLevel="0" max="4" min="4" style="1" width="16"/>
    <col collapsed="false" customWidth="true" hidden="false" outlineLevel="0" max="5" min="5" style="1" width="20"/>
    <col collapsed="false" customWidth="true" hidden="false" outlineLevel="0" max="6" min="6" style="1" width="34"/>
    <col collapsed="false" customWidth="true" hidden="false" outlineLevel="0" max="7" min="7" style="1" width="46"/>
    <col collapsed="false" customWidth="true" hidden="false" outlineLevel="0" max="8" min="8" style="1" width="50"/>
    <col collapsed="false" customWidth="true" hidden="false" outlineLevel="0" max="9" min="9" style="1" width="40"/>
    <col collapsed="false" customWidth="true" hidden="false" outlineLevel="0" max="10" min="10" style="1" width="44"/>
  </cols>
  <sheetData>
    <row r="1" customFormat="false" ht="30" hidden="false" customHeight="true" outlineLevel="0" collapsed="false">
      <c r="A1" s="4" t="s">
        <v>957</v>
      </c>
      <c r="B1" s="4" t="s">
        <v>189</v>
      </c>
      <c r="C1" s="4" t="s">
        <v>790</v>
      </c>
      <c r="D1" s="4" t="s">
        <v>147</v>
      </c>
      <c r="E1" s="4" t="s">
        <v>697</v>
      </c>
      <c r="F1" s="4" t="s">
        <v>958</v>
      </c>
      <c r="G1" s="4" t="s">
        <v>959</v>
      </c>
      <c r="H1" s="4" t="s">
        <v>960</v>
      </c>
      <c r="I1" s="4" t="s">
        <v>961</v>
      </c>
      <c r="J1" s="4" t="s">
        <v>962</v>
      </c>
    </row>
    <row r="2" customFormat="false" ht="34.5" hidden="false" customHeight="true" outlineLevel="0" collapsed="false">
      <c r="A2" s="7" t="s">
        <v>963</v>
      </c>
      <c r="B2" s="7" t="s">
        <v>964</v>
      </c>
      <c r="C2" s="7" t="s">
        <v>965</v>
      </c>
      <c r="D2" s="7" t="s">
        <v>795</v>
      </c>
      <c r="E2" s="7" t="s">
        <v>705</v>
      </c>
      <c r="F2" s="7" t="s">
        <v>966</v>
      </c>
      <c r="G2" s="7" t="s">
        <v>967</v>
      </c>
      <c r="H2" s="7" t="s">
        <v>968</v>
      </c>
      <c r="I2" s="7" t="s">
        <v>969</v>
      </c>
      <c r="J2" s="7" t="s">
        <v>970</v>
      </c>
    </row>
    <row r="3" customFormat="false" ht="23.25" hidden="false" customHeight="true" outlineLevel="0" collapsed="false">
      <c r="A3" s="7" t="s">
        <v>971</v>
      </c>
      <c r="B3" s="7" t="s">
        <v>972</v>
      </c>
      <c r="C3" s="7" t="s">
        <v>973</v>
      </c>
      <c r="D3" s="7" t="s">
        <v>800</v>
      </c>
      <c r="E3" s="7" t="s">
        <v>710</v>
      </c>
      <c r="F3" s="7" t="s">
        <v>974</v>
      </c>
      <c r="G3" s="7" t="s">
        <v>975</v>
      </c>
      <c r="H3" s="7" t="s">
        <v>976</v>
      </c>
      <c r="I3" s="7" t="s">
        <v>977</v>
      </c>
      <c r="J3" s="7" t="s">
        <v>978</v>
      </c>
    </row>
    <row r="4" customFormat="false" ht="23.25" hidden="false" customHeight="true" outlineLevel="0" collapsed="false">
      <c r="A4" s="7" t="s">
        <v>979</v>
      </c>
      <c r="B4" s="7" t="s">
        <v>980</v>
      </c>
      <c r="C4" s="7" t="s">
        <v>981</v>
      </c>
      <c r="D4" s="7" t="s">
        <v>982</v>
      </c>
      <c r="E4" s="7" t="s">
        <v>740</v>
      </c>
      <c r="F4" s="7" t="s">
        <v>983</v>
      </c>
      <c r="G4" s="7" t="s">
        <v>984</v>
      </c>
      <c r="H4" s="7" t="s">
        <v>985</v>
      </c>
      <c r="I4" s="7" t="s">
        <v>986</v>
      </c>
      <c r="J4" s="7" t="s">
        <v>987</v>
      </c>
    </row>
    <row r="5" customFormat="false" ht="23.25" hidden="false" customHeight="true" outlineLevel="0" collapsed="false">
      <c r="A5" s="7" t="s">
        <v>988</v>
      </c>
      <c r="B5" s="7" t="s">
        <v>989</v>
      </c>
      <c r="C5" s="7" t="s">
        <v>990</v>
      </c>
      <c r="D5" s="7" t="s">
        <v>991</v>
      </c>
      <c r="E5" s="7" t="s">
        <v>725</v>
      </c>
      <c r="F5" s="7" t="s">
        <v>992</v>
      </c>
      <c r="G5" s="7" t="s">
        <v>993</v>
      </c>
      <c r="H5" s="7" t="s">
        <v>994</v>
      </c>
      <c r="I5" s="7" t="s">
        <v>995</v>
      </c>
      <c r="J5" s="7" t="s">
        <v>996</v>
      </c>
    </row>
    <row r="6" customFormat="false" ht="23.25" hidden="false" customHeight="true" outlineLevel="0" collapsed="false">
      <c r="A6" s="7" t="s">
        <v>997</v>
      </c>
      <c r="B6" s="7" t="s">
        <v>998</v>
      </c>
      <c r="C6" s="7" t="s">
        <v>999</v>
      </c>
      <c r="D6" s="7" t="s">
        <v>76</v>
      </c>
      <c r="E6" s="7" t="s">
        <v>710</v>
      </c>
      <c r="F6" s="7" t="s">
        <v>1000</v>
      </c>
      <c r="G6" s="7" t="s">
        <v>1001</v>
      </c>
      <c r="H6" s="7" t="s">
        <v>1002</v>
      </c>
      <c r="I6" s="7" t="s">
        <v>76</v>
      </c>
      <c r="J6" s="7" t="s">
        <v>1002</v>
      </c>
    </row>
    <row r="7" customFormat="false" ht="15" hidden="false" customHeight="true" outlineLevel="0" collapsed="false">
      <c r="A7" s="7" t="s">
        <v>1003</v>
      </c>
      <c r="B7" s="7" t="s">
        <v>1004</v>
      </c>
      <c r="C7" s="7" t="s">
        <v>1005</v>
      </c>
      <c r="D7" s="7" t="s">
        <v>1006</v>
      </c>
      <c r="E7" s="7" t="s">
        <v>725</v>
      </c>
      <c r="F7" s="7" t="s">
        <v>1007</v>
      </c>
      <c r="G7" s="7" t="s">
        <v>1008</v>
      </c>
      <c r="H7" s="7" t="s">
        <v>1009</v>
      </c>
      <c r="I7" s="7" t="s">
        <v>1010</v>
      </c>
      <c r="J7" s="7" t="s">
        <v>1011</v>
      </c>
    </row>
    <row r="8" customFormat="false" ht="23.25" hidden="false" customHeight="true" outlineLevel="0" collapsed="false">
      <c r="A8" s="7" t="s">
        <v>1012</v>
      </c>
      <c r="B8" s="7" t="s">
        <v>1013</v>
      </c>
      <c r="C8" s="7" t="s">
        <v>1014</v>
      </c>
      <c r="D8" s="7" t="s">
        <v>1015</v>
      </c>
      <c r="E8" s="7" t="s">
        <v>733</v>
      </c>
      <c r="F8" s="7" t="s">
        <v>1016</v>
      </c>
      <c r="G8" s="7" t="s">
        <v>1017</v>
      </c>
      <c r="H8" s="7" t="s">
        <v>1018</v>
      </c>
      <c r="I8" s="7" t="s">
        <v>1019</v>
      </c>
      <c r="J8" s="7" t="s">
        <v>1020</v>
      </c>
    </row>
    <row r="10" customFormat="false" ht="15" hidden="false" customHeight="true" outlineLevel="0" collapsed="false">
      <c r="A10" s="10" t="s">
        <v>1021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2"/>
    <col collapsed="false" customWidth="true" hidden="false" outlineLevel="0" max="3" min="3" style="1" width="14"/>
    <col collapsed="false" customWidth="true" hidden="false" outlineLevel="0" max="4" min="4" style="1" width="12"/>
    <col collapsed="false" customWidth="true" hidden="false" outlineLevel="0" max="5" min="5" style="1" width="20"/>
    <col collapsed="false" customWidth="true" hidden="false" outlineLevel="0" max="6" min="6" style="1" width="66"/>
  </cols>
  <sheetData>
    <row r="1" customFormat="false" ht="30" hidden="false" customHeight="true" outlineLevel="0" collapsed="false">
      <c r="A1" s="4" t="s">
        <v>1022</v>
      </c>
      <c r="B1" s="4" t="s">
        <v>189</v>
      </c>
      <c r="C1" s="4" t="s">
        <v>957</v>
      </c>
      <c r="D1" s="4" t="s">
        <v>369</v>
      </c>
      <c r="E1" s="4" t="s">
        <v>697</v>
      </c>
      <c r="F1" s="4" t="s">
        <v>151</v>
      </c>
    </row>
    <row r="2" customFormat="false" ht="15" hidden="false" customHeight="true" outlineLevel="0" collapsed="false">
      <c r="A2" s="7" t="s">
        <v>1023</v>
      </c>
      <c r="B2" s="7" t="s">
        <v>795</v>
      </c>
      <c r="C2" s="7" t="s">
        <v>963</v>
      </c>
      <c r="D2" s="7" t="s">
        <v>1024</v>
      </c>
      <c r="E2" s="7" t="s">
        <v>705</v>
      </c>
      <c r="F2" s="7" t="s">
        <v>1025</v>
      </c>
    </row>
    <row r="3" customFormat="false" ht="15" hidden="false" customHeight="true" outlineLevel="0" collapsed="false">
      <c r="A3" s="7" t="s">
        <v>1026</v>
      </c>
      <c r="B3" s="7" t="s">
        <v>1027</v>
      </c>
      <c r="C3" s="7" t="s">
        <v>963</v>
      </c>
      <c r="D3" s="7" t="s">
        <v>1028</v>
      </c>
      <c r="E3" s="7" t="s">
        <v>733</v>
      </c>
      <c r="F3" s="7" t="s">
        <v>1029</v>
      </c>
    </row>
    <row r="4" customFormat="false" ht="15" hidden="false" customHeight="true" outlineLevel="0" collapsed="false">
      <c r="A4" s="7" t="s">
        <v>1030</v>
      </c>
      <c r="B4" s="7" t="s">
        <v>1031</v>
      </c>
      <c r="C4" s="7" t="s">
        <v>963</v>
      </c>
      <c r="D4" s="7" t="s">
        <v>1024</v>
      </c>
      <c r="E4" s="7" t="s">
        <v>705</v>
      </c>
      <c r="F4" s="7" t="s">
        <v>1032</v>
      </c>
    </row>
    <row r="5" customFormat="false" ht="23.25" hidden="false" customHeight="true" outlineLevel="0" collapsed="false">
      <c r="A5" s="7" t="s">
        <v>1033</v>
      </c>
      <c r="B5" s="7" t="s">
        <v>1034</v>
      </c>
      <c r="C5" s="7" t="s">
        <v>963</v>
      </c>
      <c r="D5" s="7" t="s">
        <v>1028</v>
      </c>
      <c r="E5" s="7" t="s">
        <v>705</v>
      </c>
      <c r="F5" s="7" t="s">
        <v>1035</v>
      </c>
    </row>
    <row r="6" customFormat="false" ht="15" hidden="false" customHeight="true" outlineLevel="0" collapsed="false">
      <c r="A6" s="7" t="s">
        <v>1036</v>
      </c>
      <c r="B6" s="7" t="s">
        <v>1037</v>
      </c>
      <c r="C6" s="7" t="s">
        <v>963</v>
      </c>
      <c r="D6" s="7" t="s">
        <v>1024</v>
      </c>
      <c r="E6" s="7" t="s">
        <v>717</v>
      </c>
      <c r="F6" s="7" t="s">
        <v>1038</v>
      </c>
    </row>
    <row r="7" customFormat="false" ht="15" hidden="false" customHeight="true" outlineLevel="0" collapsed="false">
      <c r="A7" s="7" t="s">
        <v>1039</v>
      </c>
      <c r="B7" s="7" t="s">
        <v>1040</v>
      </c>
      <c r="C7" s="7" t="s">
        <v>963</v>
      </c>
      <c r="D7" s="7" t="s">
        <v>1041</v>
      </c>
      <c r="E7" s="7" t="s">
        <v>717</v>
      </c>
      <c r="F7" s="7" t="s">
        <v>1042</v>
      </c>
    </row>
    <row r="8" customFormat="false" ht="15" hidden="false" customHeight="true" outlineLevel="0" collapsed="false">
      <c r="A8" s="7" t="s">
        <v>1043</v>
      </c>
      <c r="B8" s="7" t="s">
        <v>800</v>
      </c>
      <c r="C8" s="7" t="s">
        <v>971</v>
      </c>
      <c r="D8" s="7" t="s">
        <v>1024</v>
      </c>
      <c r="E8" s="7" t="s">
        <v>710</v>
      </c>
      <c r="F8" s="7" t="s">
        <v>1044</v>
      </c>
    </row>
    <row r="9" customFormat="false" ht="15" hidden="false" customHeight="true" outlineLevel="0" collapsed="false">
      <c r="A9" s="7" t="s">
        <v>1045</v>
      </c>
      <c r="B9" s="7" t="s">
        <v>1046</v>
      </c>
      <c r="C9" s="7" t="s">
        <v>971</v>
      </c>
      <c r="D9" s="7" t="s">
        <v>1024</v>
      </c>
      <c r="E9" s="7" t="s">
        <v>710</v>
      </c>
      <c r="F9" s="7" t="s">
        <v>1047</v>
      </c>
    </row>
    <row r="10" customFormat="false" ht="23.25" hidden="false" customHeight="true" outlineLevel="0" collapsed="false">
      <c r="A10" s="7" t="s">
        <v>1048</v>
      </c>
      <c r="B10" s="7" t="s">
        <v>1049</v>
      </c>
      <c r="C10" s="7" t="s">
        <v>971</v>
      </c>
      <c r="D10" s="7" t="s">
        <v>1028</v>
      </c>
      <c r="E10" s="7" t="s">
        <v>710</v>
      </c>
      <c r="F10" s="7" t="s">
        <v>1050</v>
      </c>
    </row>
    <row r="11" customFormat="false" ht="15" hidden="false" customHeight="true" outlineLevel="0" collapsed="false">
      <c r="A11" s="7" t="s">
        <v>1051</v>
      </c>
      <c r="B11" s="7" t="s">
        <v>1052</v>
      </c>
      <c r="C11" s="7" t="s">
        <v>971</v>
      </c>
      <c r="D11" s="7" t="s">
        <v>1024</v>
      </c>
      <c r="E11" s="7" t="s">
        <v>710</v>
      </c>
      <c r="F11" s="7" t="s">
        <v>1053</v>
      </c>
    </row>
    <row r="12" customFormat="false" ht="15" hidden="false" customHeight="true" outlineLevel="0" collapsed="false">
      <c r="A12" s="7" t="s">
        <v>1054</v>
      </c>
      <c r="B12" s="7" t="s">
        <v>1055</v>
      </c>
      <c r="C12" s="7" t="s">
        <v>971</v>
      </c>
      <c r="D12" s="7" t="s">
        <v>1041</v>
      </c>
      <c r="E12" s="7" t="s">
        <v>710</v>
      </c>
      <c r="F12" s="7" t="s">
        <v>1056</v>
      </c>
    </row>
    <row r="13" customFormat="false" ht="15" hidden="false" customHeight="true" outlineLevel="0" collapsed="false">
      <c r="A13" s="7" t="s">
        <v>1057</v>
      </c>
      <c r="B13" s="7" t="s">
        <v>1058</v>
      </c>
      <c r="C13" s="7" t="s">
        <v>979</v>
      </c>
      <c r="D13" s="7" t="s">
        <v>1024</v>
      </c>
      <c r="E13" s="7" t="s">
        <v>740</v>
      </c>
      <c r="F13" s="7" t="s">
        <v>1059</v>
      </c>
    </row>
    <row r="14" customFormat="false" ht="15" hidden="false" customHeight="true" outlineLevel="0" collapsed="false">
      <c r="A14" s="7" t="s">
        <v>1060</v>
      </c>
      <c r="B14" s="7" t="s">
        <v>1061</v>
      </c>
      <c r="C14" s="7" t="s">
        <v>979</v>
      </c>
      <c r="D14" s="7" t="s">
        <v>1024</v>
      </c>
      <c r="E14" s="7" t="s">
        <v>740</v>
      </c>
      <c r="F14" s="7" t="s">
        <v>1062</v>
      </c>
    </row>
    <row r="15" customFormat="false" ht="15" hidden="false" customHeight="true" outlineLevel="0" collapsed="false">
      <c r="A15" s="7" t="s">
        <v>1063</v>
      </c>
      <c r="B15" s="7" t="s">
        <v>1064</v>
      </c>
      <c r="C15" s="7" t="s">
        <v>979</v>
      </c>
      <c r="D15" s="7" t="s">
        <v>1024</v>
      </c>
      <c r="E15" s="7" t="s">
        <v>740</v>
      </c>
      <c r="F15" s="7" t="s">
        <v>1065</v>
      </c>
    </row>
    <row r="16" customFormat="false" ht="15" hidden="false" customHeight="true" outlineLevel="0" collapsed="false">
      <c r="A16" s="7" t="s">
        <v>1066</v>
      </c>
      <c r="B16" s="7" t="s">
        <v>991</v>
      </c>
      <c r="C16" s="7" t="s">
        <v>988</v>
      </c>
      <c r="D16" s="7" t="s">
        <v>1024</v>
      </c>
      <c r="E16" s="7" t="s">
        <v>725</v>
      </c>
      <c r="F16" s="7" t="s">
        <v>1067</v>
      </c>
    </row>
    <row r="17" customFormat="false" ht="15" hidden="false" customHeight="true" outlineLevel="0" collapsed="false">
      <c r="A17" s="7" t="s">
        <v>1068</v>
      </c>
      <c r="B17" s="7" t="s">
        <v>1069</v>
      </c>
      <c r="C17" s="7" t="s">
        <v>988</v>
      </c>
      <c r="D17" s="7" t="s">
        <v>1024</v>
      </c>
      <c r="E17" s="7" t="s">
        <v>725</v>
      </c>
      <c r="F17" s="7" t="s">
        <v>1070</v>
      </c>
    </row>
    <row r="18" customFormat="false" ht="23.25" hidden="false" customHeight="true" outlineLevel="0" collapsed="false">
      <c r="A18" s="7" t="s">
        <v>1071</v>
      </c>
      <c r="B18" s="7" t="s">
        <v>1072</v>
      </c>
      <c r="C18" s="7" t="s">
        <v>988</v>
      </c>
      <c r="D18" s="7" t="s">
        <v>1073</v>
      </c>
      <c r="E18" s="7" t="s">
        <v>725</v>
      </c>
      <c r="F18" s="7" t="s">
        <v>1074</v>
      </c>
    </row>
    <row r="19" customFormat="false" ht="15" hidden="false" customHeight="true" outlineLevel="0" collapsed="false">
      <c r="A19" s="7" t="s">
        <v>1075</v>
      </c>
      <c r="B19" s="7" t="s">
        <v>1006</v>
      </c>
      <c r="C19" s="7" t="s">
        <v>1003</v>
      </c>
      <c r="D19" s="7" t="s">
        <v>1024</v>
      </c>
      <c r="E19" s="7" t="s">
        <v>725</v>
      </c>
      <c r="F19" s="7" t="s">
        <v>1076</v>
      </c>
    </row>
    <row r="20" customFormat="false" ht="15" hidden="false" customHeight="true" outlineLevel="0" collapsed="false">
      <c r="A20" s="7" t="s">
        <v>1077</v>
      </c>
      <c r="B20" s="7" t="s">
        <v>1015</v>
      </c>
      <c r="C20" s="7" t="s">
        <v>1012</v>
      </c>
      <c r="D20" s="7" t="s">
        <v>1024</v>
      </c>
      <c r="E20" s="7" t="s">
        <v>733</v>
      </c>
      <c r="F20" s="7" t="s">
        <v>1078</v>
      </c>
    </row>
    <row r="21" customFormat="false" ht="15" hidden="false" customHeight="true" outlineLevel="0" collapsed="false">
      <c r="A21" s="7" t="s">
        <v>1079</v>
      </c>
      <c r="B21" s="7" t="s">
        <v>1080</v>
      </c>
      <c r="C21" s="7" t="s">
        <v>963</v>
      </c>
      <c r="D21" s="7" t="s">
        <v>1041</v>
      </c>
      <c r="E21" s="7" t="s">
        <v>733</v>
      </c>
      <c r="F21" s="7" t="s">
        <v>1081</v>
      </c>
    </row>
    <row r="23" customFormat="false" ht="15" hidden="false" customHeight="true" outlineLevel="0" collapsed="false">
      <c r="A23" s="10" t="s">
        <v>1082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4"/>
    <col collapsed="false" customWidth="true" hidden="false" outlineLevel="0" max="3" min="3" style="1" width="20"/>
    <col collapsed="false" customWidth="true" hidden="false" outlineLevel="0" max="4" min="4" style="1" width="26"/>
    <col collapsed="false" customWidth="true" hidden="false" outlineLevel="0" max="5" min="5" style="1" width="46"/>
    <col collapsed="false" customWidth="true" hidden="false" outlineLevel="0" max="6" min="6" style="1" width="48"/>
    <col collapsed="false" customWidth="true" hidden="false" outlineLevel="0" max="7" min="7" style="1" width="52"/>
  </cols>
  <sheetData>
    <row r="1" customFormat="false" ht="30" hidden="false" customHeight="true" outlineLevel="0" collapsed="false">
      <c r="A1" s="4" t="s">
        <v>1083</v>
      </c>
      <c r="B1" s="4" t="s">
        <v>189</v>
      </c>
      <c r="C1" s="4" t="s">
        <v>1084</v>
      </c>
      <c r="D1" s="4" t="s">
        <v>1085</v>
      </c>
      <c r="E1" s="4" t="s">
        <v>1086</v>
      </c>
      <c r="F1" s="4" t="s">
        <v>1087</v>
      </c>
      <c r="G1" s="4" t="s">
        <v>1088</v>
      </c>
    </row>
    <row r="2" customFormat="false" ht="23.25" hidden="false" customHeight="true" outlineLevel="0" collapsed="false">
      <c r="A2" s="7" t="s">
        <v>1089</v>
      </c>
      <c r="B2" s="7" t="s">
        <v>1090</v>
      </c>
      <c r="C2" s="7" t="s">
        <v>1091</v>
      </c>
      <c r="D2" s="7" t="s">
        <v>1092</v>
      </c>
      <c r="E2" s="7" t="s">
        <v>1093</v>
      </c>
      <c r="F2" s="7" t="s">
        <v>1094</v>
      </c>
      <c r="G2" s="7" t="s">
        <v>1095</v>
      </c>
    </row>
    <row r="3" customFormat="false" ht="23.25" hidden="false" customHeight="true" outlineLevel="0" collapsed="false">
      <c r="A3" s="7" t="s">
        <v>1096</v>
      </c>
      <c r="B3" s="7" t="s">
        <v>1097</v>
      </c>
      <c r="C3" s="7" t="s">
        <v>1098</v>
      </c>
      <c r="D3" s="7" t="s">
        <v>1099</v>
      </c>
      <c r="E3" s="7" t="s">
        <v>1100</v>
      </c>
      <c r="F3" s="7" t="s">
        <v>1101</v>
      </c>
      <c r="G3" s="7" t="s">
        <v>1102</v>
      </c>
    </row>
    <row r="4" customFormat="false" ht="23.25" hidden="false" customHeight="true" outlineLevel="0" collapsed="false">
      <c r="A4" s="7" t="s">
        <v>1103</v>
      </c>
      <c r="B4" s="7" t="s">
        <v>1104</v>
      </c>
      <c r="C4" s="7" t="s">
        <v>1105</v>
      </c>
      <c r="D4" s="7" t="s">
        <v>1106</v>
      </c>
      <c r="E4" s="7" t="s">
        <v>1107</v>
      </c>
      <c r="F4" s="7" t="s">
        <v>1108</v>
      </c>
      <c r="G4" s="7" t="s">
        <v>1109</v>
      </c>
    </row>
    <row r="5" customFormat="false" ht="23.25" hidden="false" customHeight="true" outlineLevel="0" collapsed="false">
      <c r="A5" s="7" t="s">
        <v>1110</v>
      </c>
      <c r="B5" s="7" t="s">
        <v>1111</v>
      </c>
      <c r="C5" s="7" t="s">
        <v>1112</v>
      </c>
      <c r="D5" s="7" t="s">
        <v>1113</v>
      </c>
      <c r="E5" s="7" t="s">
        <v>1114</v>
      </c>
      <c r="F5" s="7" t="s">
        <v>1115</v>
      </c>
      <c r="G5" s="7" t="s">
        <v>1116</v>
      </c>
    </row>
    <row r="6" customFormat="false" ht="23.25" hidden="false" customHeight="true" outlineLevel="0" collapsed="false">
      <c r="A6" s="7" t="s">
        <v>1117</v>
      </c>
      <c r="B6" s="7" t="s">
        <v>1118</v>
      </c>
      <c r="C6" s="7" t="s">
        <v>1119</v>
      </c>
      <c r="D6" s="7" t="s">
        <v>1120</v>
      </c>
      <c r="E6" s="7" t="s">
        <v>1121</v>
      </c>
      <c r="F6" s="7" t="s">
        <v>1122</v>
      </c>
      <c r="G6" s="7" t="s">
        <v>1123</v>
      </c>
    </row>
    <row r="8" customFormat="false" ht="15" hidden="false" customHeight="true" outlineLevel="0" collapsed="false">
      <c r="A8" s="10" t="s">
        <v>1124</v>
      </c>
    </row>
    <row r="9" customFormat="false" ht="34.5" hidden="false" customHeight="true" outlineLevel="0" collapsed="false">
      <c r="A9" s="7" t="s">
        <v>1125</v>
      </c>
      <c r="B9" s="7" t="s">
        <v>1126</v>
      </c>
      <c r="C9" s="7" t="s">
        <v>1127</v>
      </c>
      <c r="D9" s="7" t="s">
        <v>1128</v>
      </c>
      <c r="E9" s="7" t="s">
        <v>1129</v>
      </c>
      <c r="F9" s="7" t="s">
        <v>1130</v>
      </c>
      <c r="G9" s="7" t="s">
        <v>1131</v>
      </c>
    </row>
    <row r="12" customFormat="false" ht="15" hidden="false" customHeight="true" outlineLevel="0" collapsed="false">
      <c r="A12" s="10" t="s">
        <v>1132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8"/>
    <col collapsed="false" customWidth="true" hidden="false" outlineLevel="0" max="3" min="3" style="1" width="12"/>
    <col collapsed="false" customWidth="true" hidden="false" outlineLevel="0" max="4" min="4" style="1" width="30"/>
    <col collapsed="false" customWidth="true" hidden="false" outlineLevel="0" max="5" min="5" style="1" width="14"/>
    <col collapsed="false" customWidth="true" hidden="false" outlineLevel="0" max="8" min="6" style="1" width="46"/>
    <col collapsed="false" customWidth="true" hidden="false" outlineLevel="0" max="9" min="9" style="1" width="50"/>
  </cols>
  <sheetData>
    <row r="1" customFormat="false" ht="30" hidden="false" customHeight="true" outlineLevel="0" collapsed="false">
      <c r="A1" s="4" t="s">
        <v>1133</v>
      </c>
      <c r="B1" s="4" t="s">
        <v>1134</v>
      </c>
      <c r="C1" s="4" t="s">
        <v>1135</v>
      </c>
      <c r="D1" s="4" t="s">
        <v>448</v>
      </c>
      <c r="E1" s="4" t="s">
        <v>1083</v>
      </c>
      <c r="F1" s="4" t="s">
        <v>1136</v>
      </c>
      <c r="G1" s="4" t="s">
        <v>1137</v>
      </c>
      <c r="H1" s="4" t="s">
        <v>1138</v>
      </c>
      <c r="I1" s="4" t="s">
        <v>1139</v>
      </c>
    </row>
    <row r="2" customFormat="false" ht="23.25" hidden="false" customHeight="true" outlineLevel="0" collapsed="false">
      <c r="A2" s="7" t="s">
        <v>1140</v>
      </c>
      <c r="B2" s="7" t="s">
        <v>1141</v>
      </c>
      <c r="C2" s="7" t="s">
        <v>1142</v>
      </c>
      <c r="D2" s="7" t="s">
        <v>1143</v>
      </c>
      <c r="E2" s="7" t="s">
        <v>1089</v>
      </c>
      <c r="F2" s="7" t="s">
        <v>1144</v>
      </c>
      <c r="G2" s="7" t="s">
        <v>1145</v>
      </c>
      <c r="H2" s="7" t="s">
        <v>1146</v>
      </c>
      <c r="I2" s="7" t="s">
        <v>1147</v>
      </c>
    </row>
    <row r="3" customFormat="false" ht="23.25" hidden="false" customHeight="true" outlineLevel="0" collapsed="false">
      <c r="A3" s="7" t="s">
        <v>1148</v>
      </c>
      <c r="B3" s="7" t="s">
        <v>1149</v>
      </c>
      <c r="C3" s="7" t="s">
        <v>1150</v>
      </c>
      <c r="D3" s="7" t="s">
        <v>1151</v>
      </c>
      <c r="E3" s="7" t="s">
        <v>1096</v>
      </c>
      <c r="F3" s="7" t="s">
        <v>1152</v>
      </c>
      <c r="G3" s="7" t="s">
        <v>1153</v>
      </c>
      <c r="H3" s="7" t="s">
        <v>1154</v>
      </c>
      <c r="I3" s="7" t="s">
        <v>1155</v>
      </c>
    </row>
    <row r="4" customFormat="false" ht="23.25" hidden="false" customHeight="true" outlineLevel="0" collapsed="false">
      <c r="A4" s="7" t="s">
        <v>1156</v>
      </c>
      <c r="B4" s="7" t="s">
        <v>1157</v>
      </c>
      <c r="C4" s="7" t="s">
        <v>1158</v>
      </c>
      <c r="D4" s="7" t="s">
        <v>1159</v>
      </c>
      <c r="E4" s="7" t="s">
        <v>1103</v>
      </c>
      <c r="F4" s="7" t="s">
        <v>1160</v>
      </c>
      <c r="G4" s="7" t="s">
        <v>1161</v>
      </c>
      <c r="H4" s="7" t="s">
        <v>1162</v>
      </c>
      <c r="I4" s="7" t="s">
        <v>1163</v>
      </c>
    </row>
    <row r="6" customFormat="false" ht="15" hidden="false" customHeight="true" outlineLevel="0" collapsed="false">
      <c r="A6" s="10" t="s">
        <v>1164</v>
      </c>
    </row>
    <row r="9" customFormat="false" ht="15" hidden="false" customHeight="false" outlineLevel="0" collapsed="false">
      <c r="A9" s="14" t="s">
        <v>1165</v>
      </c>
    </row>
    <row r="10" customFormat="false" ht="15" hidden="false" customHeight="false" outlineLevel="0" collapsed="false">
      <c r="A10" s="14" t="s">
        <v>1166</v>
      </c>
    </row>
    <row r="11" customFormat="false" ht="15" hidden="false" customHeight="false" outlineLevel="0" collapsed="false">
      <c r="A11" s="14" t="s">
        <v>1167</v>
      </c>
    </row>
    <row r="12" customFormat="false" ht="15" hidden="false" customHeight="false" outlineLevel="0" collapsed="false">
      <c r="A12" s="14" t="s">
        <v>1168</v>
      </c>
    </row>
    <row r="13" customFormat="false" ht="15" hidden="false" customHeight="false" outlineLevel="0" collapsed="false">
      <c r="A13" s="14" t="s">
        <v>1169</v>
      </c>
    </row>
    <row r="14" customFormat="false" ht="15" hidden="false" customHeight="false" outlineLevel="0" collapsed="false">
      <c r="A14" s="14" t="s">
        <v>1170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3"/>
    <col collapsed="false" customWidth="true" hidden="false" outlineLevel="0" max="3" min="3" style="0" width="26"/>
    <col collapsed="false" customWidth="true" hidden="false" outlineLevel="0" max="4" min="4" style="0" width="7"/>
    <col collapsed="false" customWidth="true" hidden="false" outlineLevel="0" max="5" min="5" style="0" width="6"/>
    <col collapsed="false" customWidth="true" hidden="false" outlineLevel="0" max="6" min="6" style="0" width="38"/>
    <col collapsed="false" customWidth="true" hidden="false" outlineLevel="0" max="7" min="7" style="0" width="34"/>
    <col collapsed="false" customWidth="true" hidden="false" outlineLevel="0" max="8" min="8" style="0" width="32"/>
    <col collapsed="false" customWidth="true" hidden="false" outlineLevel="0" max="9" min="9" style="0" width="14"/>
    <col collapsed="false" customWidth="true" hidden="false" outlineLevel="0" max="10" min="10" style="0" width="56"/>
  </cols>
  <sheetData>
    <row r="1" customFormat="false" ht="30" hidden="false" customHeight="true" outlineLevel="0" collapsed="false">
      <c r="A1" s="4" t="s">
        <v>1171</v>
      </c>
      <c r="B1" s="4" t="s">
        <v>189</v>
      </c>
      <c r="C1" s="4" t="s">
        <v>596</v>
      </c>
      <c r="D1" s="4" t="s">
        <v>1172</v>
      </c>
      <c r="E1" s="4" t="s">
        <v>348</v>
      </c>
      <c r="F1" s="4" t="s">
        <v>1173</v>
      </c>
      <c r="G1" s="4" t="s">
        <v>1138</v>
      </c>
      <c r="H1" s="4" t="s">
        <v>1174</v>
      </c>
      <c r="I1" s="4" t="s">
        <v>1175</v>
      </c>
      <c r="J1" s="4" t="s">
        <v>151</v>
      </c>
    </row>
    <row r="2" customFormat="false" ht="23.85" hidden="false" customHeight="false" outlineLevel="0" collapsed="false">
      <c r="A2" s="7" t="s">
        <v>1176</v>
      </c>
      <c r="B2" s="7" t="s">
        <v>1177</v>
      </c>
      <c r="C2" s="7" t="s">
        <v>1178</v>
      </c>
      <c r="D2" s="7" t="n">
        <v>6</v>
      </c>
      <c r="E2" s="7" t="n">
        <v>22</v>
      </c>
      <c r="F2" s="7" t="s">
        <v>1179</v>
      </c>
      <c r="G2" s="7" t="s">
        <v>1180</v>
      </c>
      <c r="H2" s="7" t="s">
        <v>1181</v>
      </c>
      <c r="I2" s="15" t="n">
        <v>14</v>
      </c>
      <c r="J2" s="7" t="s">
        <v>1182</v>
      </c>
    </row>
    <row r="3" customFormat="false" ht="23.85" hidden="false" customHeight="false" outlineLevel="0" collapsed="false">
      <c r="A3" s="7" t="s">
        <v>1183</v>
      </c>
      <c r="B3" s="7" t="s">
        <v>1184</v>
      </c>
      <c r="C3" s="7" t="s">
        <v>1185</v>
      </c>
      <c r="D3" s="7" t="n">
        <v>5</v>
      </c>
      <c r="E3" s="7" t="n">
        <v>18</v>
      </c>
      <c r="F3" s="7" t="s">
        <v>1186</v>
      </c>
      <c r="G3" s="7" t="s">
        <v>1187</v>
      </c>
      <c r="H3" s="7" t="s">
        <v>1188</v>
      </c>
      <c r="I3" s="15" t="n">
        <v>16</v>
      </c>
      <c r="J3" s="7" t="s">
        <v>1189</v>
      </c>
    </row>
    <row r="4" customFormat="false" ht="15" hidden="false" customHeight="false" outlineLevel="0" collapsed="false">
      <c r="A4" s="7" t="s">
        <v>1190</v>
      </c>
      <c r="B4" s="7" t="s">
        <v>1191</v>
      </c>
      <c r="C4" s="7" t="s">
        <v>1192</v>
      </c>
      <c r="D4" s="7" t="n">
        <v>9</v>
      </c>
      <c r="E4" s="7" t="n">
        <v>20</v>
      </c>
      <c r="F4" s="7" t="s">
        <v>1193</v>
      </c>
      <c r="G4" s="7" t="s">
        <v>1194</v>
      </c>
      <c r="H4" s="7" t="s">
        <v>1195</v>
      </c>
      <c r="I4" s="15" t="n">
        <v>12</v>
      </c>
      <c r="J4" s="7" t="s">
        <v>1196</v>
      </c>
    </row>
    <row r="5" customFormat="false" ht="23.85" hidden="false" customHeight="false" outlineLevel="0" collapsed="false">
      <c r="A5" s="7" t="s">
        <v>1197</v>
      </c>
      <c r="B5" s="7" t="s">
        <v>1198</v>
      </c>
      <c r="C5" s="7" t="s">
        <v>1199</v>
      </c>
      <c r="D5" s="7" t="n">
        <v>4</v>
      </c>
      <c r="E5" s="7" t="n">
        <v>30</v>
      </c>
      <c r="F5" s="7" t="s">
        <v>1200</v>
      </c>
      <c r="G5" s="7" t="s">
        <v>1201</v>
      </c>
      <c r="H5" s="7" t="s">
        <v>1202</v>
      </c>
      <c r="I5" s="15" t="n">
        <v>10</v>
      </c>
      <c r="J5" s="7" t="s">
        <v>1203</v>
      </c>
    </row>
    <row r="6" customFormat="false" ht="15" hidden="false" customHeight="false" outlineLevel="0" collapsed="false">
      <c r="A6" s="7" t="s">
        <v>1204</v>
      </c>
      <c r="B6" s="7" t="s">
        <v>1205</v>
      </c>
      <c r="C6" s="7" t="s">
        <v>1206</v>
      </c>
      <c r="D6" s="7" t="n">
        <v>5</v>
      </c>
      <c r="E6" s="7" t="n">
        <v>18</v>
      </c>
      <c r="F6" s="7" t="s">
        <v>1207</v>
      </c>
      <c r="G6" s="7" t="s">
        <v>1208</v>
      </c>
      <c r="H6" s="7" t="s">
        <v>1209</v>
      </c>
      <c r="I6" s="15" t="n">
        <v>11</v>
      </c>
      <c r="J6" s="7" t="s">
        <v>1210</v>
      </c>
    </row>
    <row r="7" customFormat="false" ht="15" hidden="false" customHeight="false" outlineLevel="0" collapsed="false">
      <c r="A7" s="7" t="s">
        <v>1211</v>
      </c>
      <c r="B7" s="7" t="s">
        <v>1212</v>
      </c>
      <c r="C7" s="7" t="s">
        <v>96</v>
      </c>
      <c r="D7" s="7" t="n">
        <v>5</v>
      </c>
      <c r="E7" s="7" t="n">
        <v>24</v>
      </c>
      <c r="F7" s="7" t="s">
        <v>1213</v>
      </c>
      <c r="G7" s="7" t="s">
        <v>1214</v>
      </c>
      <c r="H7" s="7" t="s">
        <v>1215</v>
      </c>
      <c r="I7" s="15" t="n">
        <v>18</v>
      </c>
      <c r="J7" s="7" t="s">
        <v>1216</v>
      </c>
    </row>
    <row r="8" customFormat="false" ht="15" hidden="false" customHeight="false" outlineLevel="0" collapsed="false">
      <c r="A8" s="7" t="s">
        <v>1217</v>
      </c>
      <c r="B8" s="7" t="s">
        <v>1218</v>
      </c>
      <c r="C8" s="7" t="s">
        <v>1219</v>
      </c>
      <c r="D8" s="7" t="n">
        <v>5</v>
      </c>
      <c r="E8" s="7" t="n">
        <v>16</v>
      </c>
      <c r="F8" s="7" t="s">
        <v>1220</v>
      </c>
      <c r="G8" s="7" t="s">
        <v>1221</v>
      </c>
      <c r="H8" s="7" t="s">
        <v>1222</v>
      </c>
      <c r="I8" s="15" t="n">
        <v>6</v>
      </c>
      <c r="J8" s="7" t="s">
        <v>1223</v>
      </c>
    </row>
    <row r="9" customFormat="false" ht="23.85" hidden="false" customHeight="false" outlineLevel="0" collapsed="false">
      <c r="A9" s="7" t="s">
        <v>1224</v>
      </c>
      <c r="B9" s="7" t="s">
        <v>1225</v>
      </c>
      <c r="C9" s="7" t="s">
        <v>1226</v>
      </c>
      <c r="D9" s="7" t="n">
        <v>5</v>
      </c>
      <c r="E9" s="7" t="n">
        <v>12</v>
      </c>
      <c r="F9" s="7" t="s">
        <v>1227</v>
      </c>
      <c r="G9" s="7" t="s">
        <v>1228</v>
      </c>
      <c r="H9" s="7" t="s">
        <v>1229</v>
      </c>
      <c r="I9" s="15" t="n">
        <v>0</v>
      </c>
      <c r="J9" s="7" t="s">
        <v>1230</v>
      </c>
    </row>
    <row r="11" customFormat="false" ht="15" hidden="false" customHeight="false" outlineLevel="0" collapsed="false">
      <c r="A11" s="14" t="s">
        <v>1231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17"/>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22"/>
    <col collapsed="false" customWidth="true" hidden="false" outlineLevel="0" max="8" min="8" style="0" width="62"/>
    <col collapsed="false" customWidth="true" hidden="false" outlineLevel="0" max="9" min="9" style="0" width="46"/>
  </cols>
  <sheetData>
    <row r="1" customFormat="false" ht="30" hidden="false" customHeight="true" outlineLevel="0" collapsed="false">
      <c r="A1" s="4" t="s">
        <v>1232</v>
      </c>
      <c r="B1" s="4" t="s">
        <v>189</v>
      </c>
      <c r="C1" s="4" t="s">
        <v>1233</v>
      </c>
      <c r="D1" s="4" t="s">
        <v>348</v>
      </c>
      <c r="E1" s="4" t="s">
        <v>1234</v>
      </c>
      <c r="F1" s="4" t="s">
        <v>1235</v>
      </c>
      <c r="G1" s="4" t="s">
        <v>1236</v>
      </c>
      <c r="H1" s="4" t="s">
        <v>1237</v>
      </c>
      <c r="I1" s="4" t="s">
        <v>1238</v>
      </c>
    </row>
    <row r="2" customFormat="false" ht="23.85" hidden="false" customHeight="false" outlineLevel="0" collapsed="false">
      <c r="A2" s="7" t="s">
        <v>1239</v>
      </c>
      <c r="B2" s="7" t="s">
        <v>1240</v>
      </c>
      <c r="C2" s="7" t="n">
        <v>1</v>
      </c>
      <c r="D2" s="7" t="n">
        <v>400</v>
      </c>
      <c r="E2" s="7" t="n">
        <v>0</v>
      </c>
      <c r="F2" s="7" t="s">
        <v>380</v>
      </c>
      <c r="G2" s="7" t="s">
        <v>380</v>
      </c>
      <c r="H2" s="7" t="s">
        <v>1241</v>
      </c>
      <c r="I2" s="7" t="s">
        <v>1242</v>
      </c>
    </row>
    <row r="3" customFormat="false" ht="23.85" hidden="false" customHeight="false" outlineLevel="0" collapsed="false">
      <c r="A3" s="7" t="s">
        <v>1243</v>
      </c>
      <c r="B3" s="7" t="s">
        <v>1244</v>
      </c>
      <c r="C3" s="7" t="n">
        <v>5</v>
      </c>
      <c r="D3" s="7" t="n">
        <v>340</v>
      </c>
      <c r="E3" s="7" t="n">
        <v>0</v>
      </c>
      <c r="F3" s="7" t="s">
        <v>380</v>
      </c>
      <c r="G3" s="7" t="s">
        <v>386</v>
      </c>
      <c r="H3" s="7" t="s">
        <v>1245</v>
      </c>
      <c r="I3" s="7" t="s">
        <v>1246</v>
      </c>
    </row>
    <row r="5" customFormat="false" ht="15" hidden="false" customHeight="false" outlineLevel="0" collapsed="false">
      <c r="A5" s="14" t="s">
        <v>1247</v>
      </c>
    </row>
    <row r="8" customFormat="false" ht="15" hidden="false" customHeight="false" outlineLevel="0" collapsed="false">
      <c r="A8" s="14" t="s">
        <v>1248</v>
      </c>
    </row>
    <row r="9" customFormat="false" ht="15" hidden="false" customHeight="false" outlineLevel="0" collapsed="false">
      <c r="A9" s="14" t="s">
        <v>1249</v>
      </c>
    </row>
    <row r="10" customFormat="false" ht="15" hidden="false" customHeight="false" outlineLevel="0" collapsed="false">
      <c r="A10" s="14" t="s">
        <v>1250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12"/>
    <col collapsed="false" customWidth="true" hidden="false" outlineLevel="0" max="4" min="4" style="0" width="16"/>
    <col collapsed="false" customWidth="true" hidden="false" outlineLevel="0" max="5" min="5" style="0" width="46"/>
  </cols>
  <sheetData>
    <row r="1" customFormat="false" ht="30" hidden="false" customHeight="true" outlineLevel="0" collapsed="false">
      <c r="A1" s="4" t="s">
        <v>1251</v>
      </c>
      <c r="B1" s="4" t="s">
        <v>1252</v>
      </c>
      <c r="C1" s="4" t="s">
        <v>1253</v>
      </c>
      <c r="D1" s="4" t="s">
        <v>1254</v>
      </c>
      <c r="E1" s="4" t="s">
        <v>1255</v>
      </c>
    </row>
    <row r="2" customFormat="false" ht="15" hidden="false" customHeight="false" outlineLevel="0" collapsed="false">
      <c r="A2" s="7" t="s">
        <v>1256</v>
      </c>
      <c r="B2" s="7" t="n">
        <v>87</v>
      </c>
      <c r="C2" s="7" t="n">
        <v>340</v>
      </c>
      <c r="D2" s="7" t="n">
        <v>4</v>
      </c>
      <c r="E2" s="7" t="s">
        <v>1257</v>
      </c>
    </row>
    <row r="3" customFormat="false" ht="15" hidden="false" customHeight="false" outlineLevel="0" collapsed="false">
      <c r="A3" s="7" t="s">
        <v>1258</v>
      </c>
      <c r="B3" s="7" t="n">
        <v>69</v>
      </c>
      <c r="C3" s="7" t="n">
        <v>340</v>
      </c>
      <c r="D3" s="7" t="n">
        <v>5</v>
      </c>
      <c r="E3" s="7" t="s">
        <v>1259</v>
      </c>
    </row>
    <row r="4" customFormat="false" ht="15" hidden="false" customHeight="false" outlineLevel="0" collapsed="false">
      <c r="A4" s="7" t="s">
        <v>1260</v>
      </c>
      <c r="B4" s="7" t="n">
        <v>18</v>
      </c>
      <c r="C4" s="7" t="n">
        <v>340</v>
      </c>
      <c r="D4" s="7" t="n">
        <v>19</v>
      </c>
      <c r="E4" s="7" t="s">
        <v>1261</v>
      </c>
    </row>
    <row r="5" customFormat="false" ht="15" hidden="false" customHeight="false" outlineLevel="0" collapsed="false">
      <c r="A5" s="7" t="s">
        <v>1262</v>
      </c>
      <c r="B5" s="7" t="n">
        <v>14</v>
      </c>
      <c r="C5" s="7" t="n">
        <v>340</v>
      </c>
      <c r="D5" s="7" t="n">
        <v>25</v>
      </c>
      <c r="E5" s="7" t="s">
        <v>1263</v>
      </c>
    </row>
    <row r="7" customFormat="false" ht="15" hidden="false" customHeight="false" outlineLevel="0" collapsed="false">
      <c r="A7" s="14" t="s">
        <v>1264</v>
      </c>
    </row>
    <row r="11" customFormat="false" ht="15" hidden="false" customHeight="false" outlineLevel="0" collapsed="false">
      <c r="A11" s="14" t="s">
        <v>1265</v>
      </c>
    </row>
    <row r="12" customFormat="false" ht="15" hidden="false" customHeight="false" outlineLevel="0" collapsed="false">
      <c r="A12" s="14" t="s">
        <v>1266</v>
      </c>
    </row>
    <row r="13" customFormat="false" ht="15" hidden="false" customHeight="false" outlineLevel="0" collapsed="false">
      <c r="A13" s="14" t="s">
        <v>1267</v>
      </c>
    </row>
    <row r="14" customFormat="false" ht="15" hidden="false" customHeight="false" outlineLevel="0" collapsed="false">
      <c r="A14" s="14" t="s">
        <v>1268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5"/>
    <col collapsed="false" customWidth="true" hidden="false" outlineLevel="0" max="4" min="4" style="0" width="10"/>
    <col collapsed="false" customWidth="true" hidden="false" outlineLevel="0" max="5" min="5" style="0" width="44"/>
    <col collapsed="false" customWidth="true" hidden="false" outlineLevel="0" max="6" min="6" style="0" width="40"/>
    <col collapsed="false" customWidth="true" hidden="false" outlineLevel="0" max="7" min="7" style="0" width="46"/>
    <col collapsed="false" customWidth="true" hidden="false" outlineLevel="0" max="8" min="8" style="0" width="54"/>
  </cols>
  <sheetData>
    <row r="1" customFormat="false" ht="30" hidden="false" customHeight="true" outlineLevel="0" collapsed="false">
      <c r="A1" s="4" t="s">
        <v>1269</v>
      </c>
      <c r="B1" s="4" t="s">
        <v>189</v>
      </c>
      <c r="C1" s="4" t="s">
        <v>1270</v>
      </c>
      <c r="D1" s="4" t="s">
        <v>1271</v>
      </c>
      <c r="E1" s="4" t="s">
        <v>1272</v>
      </c>
      <c r="F1" s="4" t="s">
        <v>1273</v>
      </c>
      <c r="G1" s="4" t="s">
        <v>1274</v>
      </c>
      <c r="H1" s="4" t="s">
        <v>1275</v>
      </c>
    </row>
    <row r="2" customFormat="false" ht="23.85" hidden="false" customHeight="false" outlineLevel="0" collapsed="false">
      <c r="A2" s="7" t="s">
        <v>1276</v>
      </c>
      <c r="B2" s="7" t="s">
        <v>1277</v>
      </c>
      <c r="C2" s="7" t="s">
        <v>1278</v>
      </c>
      <c r="D2" s="7" t="s">
        <v>1279</v>
      </c>
      <c r="E2" s="7" t="s">
        <v>1280</v>
      </c>
      <c r="F2" s="7" t="s">
        <v>1281</v>
      </c>
      <c r="G2" s="7" t="s">
        <v>1282</v>
      </c>
      <c r="H2" s="7" t="s">
        <v>1283</v>
      </c>
    </row>
    <row r="3" customFormat="false" ht="15" hidden="false" customHeight="false" outlineLevel="0" collapsed="false">
      <c r="A3" s="7" t="s">
        <v>1284</v>
      </c>
      <c r="B3" s="7" t="s">
        <v>1285</v>
      </c>
      <c r="C3" s="7" t="s">
        <v>1286</v>
      </c>
      <c r="D3" s="7" t="s">
        <v>1287</v>
      </c>
      <c r="E3" s="7" t="s">
        <v>1288</v>
      </c>
      <c r="F3" s="7" t="s">
        <v>1289</v>
      </c>
      <c r="G3" s="7" t="s">
        <v>1290</v>
      </c>
    </row>
    <row r="4" customFormat="false" ht="15" hidden="false" customHeight="false" outlineLevel="0" collapsed="false">
      <c r="A4" s="7" t="s">
        <v>1291</v>
      </c>
      <c r="B4" s="7" t="s">
        <v>1292</v>
      </c>
      <c r="C4" s="7" t="s">
        <v>1293</v>
      </c>
      <c r="D4" s="7" t="s">
        <v>1294</v>
      </c>
      <c r="E4" s="7" t="s">
        <v>1295</v>
      </c>
      <c r="F4" s="7" t="s">
        <v>1296</v>
      </c>
      <c r="G4" s="7" t="s">
        <v>1297</v>
      </c>
    </row>
    <row r="5" customFormat="false" ht="15" hidden="false" customHeight="false" outlineLevel="0" collapsed="false">
      <c r="A5" s="7" t="s">
        <v>1298</v>
      </c>
      <c r="B5" s="7" t="s">
        <v>1299</v>
      </c>
      <c r="C5" s="7" t="s">
        <v>1300</v>
      </c>
      <c r="D5" s="7" t="s">
        <v>1301</v>
      </c>
      <c r="E5" s="7" t="s">
        <v>1302</v>
      </c>
      <c r="F5" s="7" t="s">
        <v>1303</v>
      </c>
      <c r="G5" s="7" t="s">
        <v>1304</v>
      </c>
    </row>
    <row r="6" customFormat="false" ht="23.85" hidden="false" customHeight="false" outlineLevel="0" collapsed="false">
      <c r="A6" s="7" t="s">
        <v>1305</v>
      </c>
      <c r="B6" s="7" t="s">
        <v>1306</v>
      </c>
      <c r="C6" s="7" t="s">
        <v>1307</v>
      </c>
      <c r="D6" s="7" t="s">
        <v>1279</v>
      </c>
      <c r="E6" s="7" t="s">
        <v>1308</v>
      </c>
      <c r="F6" s="7" t="s">
        <v>1309</v>
      </c>
      <c r="G6" s="7" t="s">
        <v>1310</v>
      </c>
    </row>
    <row r="7" customFormat="false" ht="15" hidden="false" customHeight="false" outlineLevel="0" collapsed="false">
      <c r="A7" s="7" t="s">
        <v>1311</v>
      </c>
      <c r="B7" s="7" t="s">
        <v>1312</v>
      </c>
      <c r="C7" s="7" t="s">
        <v>1313</v>
      </c>
      <c r="D7" s="7" t="s">
        <v>1287</v>
      </c>
      <c r="E7" s="7" t="s">
        <v>1314</v>
      </c>
      <c r="F7" s="7" t="s">
        <v>1315</v>
      </c>
      <c r="G7" s="7" t="s">
        <v>1316</v>
      </c>
    </row>
    <row r="8" customFormat="false" ht="15" hidden="false" customHeight="false" outlineLevel="0" collapsed="false">
      <c r="A8" s="7" t="s">
        <v>1317</v>
      </c>
      <c r="B8" s="7" t="s">
        <v>1318</v>
      </c>
      <c r="C8" s="7" t="s">
        <v>1319</v>
      </c>
      <c r="D8" s="7" t="s">
        <v>1294</v>
      </c>
      <c r="E8" s="7" t="s">
        <v>1320</v>
      </c>
      <c r="F8" s="7" t="s">
        <v>1321</v>
      </c>
      <c r="G8" s="7" t="s">
        <v>1322</v>
      </c>
    </row>
    <row r="9" customFormat="false" ht="15" hidden="false" customHeight="false" outlineLevel="0" collapsed="false">
      <c r="A9" s="7" t="s">
        <v>1323</v>
      </c>
      <c r="B9" s="7" t="s">
        <v>1324</v>
      </c>
      <c r="C9" s="7" t="s">
        <v>1325</v>
      </c>
      <c r="D9" s="7" t="s">
        <v>1301</v>
      </c>
      <c r="E9" s="7" t="s">
        <v>1326</v>
      </c>
      <c r="F9" s="7" t="s">
        <v>1327</v>
      </c>
      <c r="G9" s="7" t="s">
        <v>1328</v>
      </c>
    </row>
    <row r="10" customFormat="false" ht="23.85" hidden="false" customHeight="false" outlineLevel="0" collapsed="false">
      <c r="A10" s="7" t="s">
        <v>1329</v>
      </c>
      <c r="B10" s="7" t="s">
        <v>1330</v>
      </c>
      <c r="C10" s="7" t="s">
        <v>1331</v>
      </c>
      <c r="D10" s="7" t="s">
        <v>1279</v>
      </c>
      <c r="E10" s="7" t="s">
        <v>1332</v>
      </c>
      <c r="F10" s="7" t="s">
        <v>1333</v>
      </c>
      <c r="G10" s="7" t="s">
        <v>1334</v>
      </c>
    </row>
    <row r="11" customFormat="false" ht="15" hidden="false" customHeight="false" outlineLevel="0" collapsed="false">
      <c r="A11" s="7" t="s">
        <v>1335</v>
      </c>
      <c r="B11" s="7" t="s">
        <v>1336</v>
      </c>
      <c r="C11" s="7" t="s">
        <v>1337</v>
      </c>
      <c r="D11" s="7" t="s">
        <v>1287</v>
      </c>
      <c r="E11" s="7" t="s">
        <v>1338</v>
      </c>
      <c r="F11" s="7" t="s">
        <v>1339</v>
      </c>
      <c r="G11" s="7" t="s">
        <v>1340</v>
      </c>
    </row>
    <row r="12" customFormat="false" ht="15" hidden="false" customHeight="false" outlineLevel="0" collapsed="false">
      <c r="A12" s="7" t="s">
        <v>1341</v>
      </c>
      <c r="B12" s="7" t="s">
        <v>1342</v>
      </c>
      <c r="C12" s="7" t="s">
        <v>1343</v>
      </c>
      <c r="D12" s="7" t="s">
        <v>1294</v>
      </c>
      <c r="E12" s="7" t="s">
        <v>1344</v>
      </c>
      <c r="F12" s="7" t="s">
        <v>1345</v>
      </c>
      <c r="G12" s="7" t="s">
        <v>1346</v>
      </c>
    </row>
    <row r="13" customFormat="false" ht="15" hidden="false" customHeight="false" outlineLevel="0" collapsed="false">
      <c r="A13" s="7" t="s">
        <v>1347</v>
      </c>
      <c r="B13" s="7" t="s">
        <v>1348</v>
      </c>
      <c r="C13" s="7" t="s">
        <v>1349</v>
      </c>
      <c r="D13" s="7" t="s">
        <v>1301</v>
      </c>
      <c r="E13" s="7" t="s">
        <v>1350</v>
      </c>
      <c r="F13" s="7" t="s">
        <v>1351</v>
      </c>
      <c r="G13" s="7" t="s">
        <v>1352</v>
      </c>
    </row>
    <row r="15" customFormat="false" ht="15" hidden="false" customHeight="false" outlineLevel="0" collapsed="false">
      <c r="A15" s="14" t="s">
        <v>1353</v>
      </c>
    </row>
    <row r="18" customFormat="false" ht="15" hidden="false" customHeight="false" outlineLevel="0" collapsed="false">
      <c r="A18" s="14" t="s">
        <v>1354</v>
      </c>
    </row>
    <row r="19" customFormat="false" ht="15" hidden="false" customHeight="false" outlineLevel="0" collapsed="false">
      <c r="A19" s="14" t="s">
        <v>1355</v>
      </c>
    </row>
    <row r="20" customFormat="false" ht="15" hidden="false" customHeight="false" outlineLevel="0" collapsed="false">
      <c r="A20" s="14" t="s">
        <v>1356</v>
      </c>
    </row>
    <row r="21" customFormat="false" ht="15" hidden="false" customHeight="false" outlineLevel="0" collapsed="false">
      <c r="A21" s="14" t="s">
        <v>1357</v>
      </c>
    </row>
    <row r="22" customFormat="false" ht="15" hidden="false" customHeight="false" outlineLevel="0" collapsed="false">
      <c r="A22" s="14" t="s">
        <v>1358</v>
      </c>
    </row>
    <row r="23" customFormat="false" ht="15" hidden="false" customHeight="false" outlineLevel="0" collapsed="false">
      <c r="A23" s="14" t="s">
        <v>1359</v>
      </c>
    </row>
    <row r="24" customFormat="false" ht="15" hidden="false" customHeight="false" outlineLevel="0" collapsed="false">
      <c r="A24" s="14" t="s">
        <v>1360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96"/>
  </cols>
  <sheetData>
    <row r="1" customFormat="false" ht="30" hidden="false" customHeight="true" outlineLevel="0" collapsed="false">
      <c r="A1" s="4" t="s">
        <v>1135</v>
      </c>
      <c r="B1" s="4" t="s">
        <v>1361</v>
      </c>
      <c r="C1" s="4" t="s">
        <v>1362</v>
      </c>
    </row>
    <row r="2" customFormat="false" ht="35.05" hidden="false" customHeight="false" outlineLevel="0" collapsed="false">
      <c r="A2" s="7" t="s">
        <v>1363</v>
      </c>
      <c r="B2" s="7"/>
      <c r="C2" s="7" t="s">
        <v>1364</v>
      </c>
    </row>
    <row r="3" customFormat="false" ht="46.25" hidden="false" customHeight="false" outlineLevel="0" collapsed="false">
      <c r="A3" s="7" t="s">
        <v>1365</v>
      </c>
      <c r="B3" s="7"/>
      <c r="C3" s="7" t="s">
        <v>1366</v>
      </c>
    </row>
    <row r="4" customFormat="false" ht="15" hidden="false" customHeight="false" outlineLevel="0" collapsed="false">
      <c r="A4" s="7" t="s">
        <v>1367</v>
      </c>
      <c r="B4" s="7" t="s">
        <v>1368</v>
      </c>
      <c r="C4" s="7" t="s">
        <v>1369</v>
      </c>
    </row>
    <row r="5" customFormat="false" ht="15" hidden="false" customHeight="false" outlineLevel="0" collapsed="false">
      <c r="A5" s="7" t="s">
        <v>1370</v>
      </c>
      <c r="B5" s="7" t="s">
        <v>1371</v>
      </c>
      <c r="C5" s="7" t="s">
        <v>1372</v>
      </c>
    </row>
    <row r="6" customFormat="false" ht="15" hidden="false" customHeight="false" outlineLevel="0" collapsed="false">
      <c r="A6" s="7" t="s">
        <v>1373</v>
      </c>
      <c r="B6" s="7" t="s">
        <v>1374</v>
      </c>
      <c r="C6" s="7" t="s">
        <v>1375</v>
      </c>
    </row>
    <row r="7" customFormat="false" ht="15" hidden="false" customHeight="false" outlineLevel="0" collapsed="false">
      <c r="A7" s="7" t="s">
        <v>1376</v>
      </c>
      <c r="B7" s="7" t="s">
        <v>1377</v>
      </c>
      <c r="C7" s="7" t="s">
        <v>1378</v>
      </c>
    </row>
    <row r="8" customFormat="false" ht="15" hidden="false" customHeight="false" outlineLevel="0" collapsed="false">
      <c r="A8" s="7" t="s">
        <v>1379</v>
      </c>
      <c r="B8" s="7" t="s">
        <v>1380</v>
      </c>
      <c r="C8" s="7" t="s">
        <v>1381</v>
      </c>
    </row>
    <row r="9" customFormat="false" ht="35.05" hidden="false" customHeight="false" outlineLevel="0" collapsed="false">
      <c r="A9" s="7" t="s">
        <v>1382</v>
      </c>
      <c r="B9" s="7"/>
      <c r="C9" s="7" t="s">
        <v>1383</v>
      </c>
    </row>
    <row r="11" customFormat="false" ht="15" hidden="false" customHeight="false" outlineLevel="0" collapsed="false">
      <c r="A11" s="14" t="s">
        <v>1384</v>
      </c>
    </row>
    <row r="14" customFormat="false" ht="15" hidden="false" customHeight="false" outlineLevel="0" collapsed="false">
      <c r="A14" s="14" t="s">
        <v>1385</v>
      </c>
    </row>
    <row r="15" customFormat="false" ht="15" hidden="false" customHeight="false" outlineLevel="0" collapsed="false">
      <c r="A15" s="14" t="s">
        <v>1386</v>
      </c>
    </row>
    <row r="16" customFormat="false" ht="15" hidden="false" customHeight="false" outlineLevel="0" collapsed="false">
      <c r="A16" s="14" t="s">
        <v>1387</v>
      </c>
    </row>
    <row r="17" customFormat="false" ht="15" hidden="false" customHeight="false" outlineLevel="0" collapsed="false">
      <c r="A17" s="14" t="s">
        <v>1388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14"/>
    <col collapsed="false" customWidth="true" hidden="false" outlineLevel="0" max="4" min="4" style="0" width="13"/>
    <col collapsed="false" customWidth="true" hidden="false" outlineLevel="0" max="5" min="5" style="0" width="20"/>
    <col collapsed="false" customWidth="true" hidden="false" outlineLevel="0" max="6" min="6" style="0" width="52"/>
    <col collapsed="false" customWidth="true" hidden="false" outlineLevel="0" max="7" min="7" style="0" width="48"/>
    <col collapsed="false" customWidth="true" hidden="false" outlineLevel="0" max="8" min="8" style="0" width="62"/>
  </cols>
  <sheetData>
    <row r="1" customFormat="false" ht="30" hidden="false" customHeight="true" outlineLevel="0" collapsed="false">
      <c r="A1" s="4" t="s">
        <v>1389</v>
      </c>
      <c r="B1" s="4" t="s">
        <v>189</v>
      </c>
      <c r="C1" s="4" t="s">
        <v>55</v>
      </c>
      <c r="D1" s="4" t="s">
        <v>1390</v>
      </c>
      <c r="E1" s="4" t="s">
        <v>1391</v>
      </c>
      <c r="F1" s="4" t="s">
        <v>1392</v>
      </c>
      <c r="G1" s="4" t="s">
        <v>1393</v>
      </c>
      <c r="H1" s="4" t="s">
        <v>151</v>
      </c>
    </row>
    <row r="2" customFormat="false" ht="35.05" hidden="false" customHeight="false" outlineLevel="0" collapsed="false">
      <c r="A2" s="7" t="s">
        <v>1394</v>
      </c>
      <c r="B2" s="7" t="s">
        <v>1395</v>
      </c>
      <c r="C2" s="7" t="s">
        <v>85</v>
      </c>
      <c r="D2" s="7" t="s">
        <v>1396</v>
      </c>
      <c r="E2" s="7" t="s">
        <v>1397</v>
      </c>
      <c r="F2" s="7" t="s">
        <v>1398</v>
      </c>
      <c r="G2" s="7" t="s">
        <v>1399</v>
      </c>
      <c r="H2" s="7" t="s">
        <v>1400</v>
      </c>
    </row>
    <row r="3" customFormat="false" ht="46.25" hidden="false" customHeight="false" outlineLevel="0" collapsed="false">
      <c r="A3" s="7" t="s">
        <v>1401</v>
      </c>
      <c r="B3" s="7" t="s">
        <v>1402</v>
      </c>
      <c r="C3" s="7" t="s">
        <v>85</v>
      </c>
      <c r="D3" s="7" t="s">
        <v>1403</v>
      </c>
      <c r="E3" s="7" t="s">
        <v>1404</v>
      </c>
      <c r="F3" s="7" t="s">
        <v>1405</v>
      </c>
      <c r="G3" s="7" t="s">
        <v>1406</v>
      </c>
      <c r="H3" s="7" t="s">
        <v>1407</v>
      </c>
    </row>
    <row r="4" customFormat="false" ht="23.85" hidden="false" customHeight="false" outlineLevel="0" collapsed="false">
      <c r="A4" s="7" t="s">
        <v>1408</v>
      </c>
      <c r="B4" s="7" t="s">
        <v>1409</v>
      </c>
      <c r="C4" s="7" t="s">
        <v>85</v>
      </c>
      <c r="D4" s="7" t="s">
        <v>1410</v>
      </c>
      <c r="E4" s="7" t="s">
        <v>1397</v>
      </c>
      <c r="F4" s="7" t="s">
        <v>1411</v>
      </c>
      <c r="G4" s="7" t="s">
        <v>1412</v>
      </c>
      <c r="H4" s="7" t="s">
        <v>1413</v>
      </c>
    </row>
    <row r="5" customFormat="false" ht="23.85" hidden="false" customHeight="false" outlineLevel="0" collapsed="false">
      <c r="A5" s="7" t="s">
        <v>1414</v>
      </c>
      <c r="B5" s="7" t="s">
        <v>1415</v>
      </c>
      <c r="C5" s="7" t="s">
        <v>85</v>
      </c>
      <c r="D5" s="7" t="s">
        <v>1403</v>
      </c>
      <c r="E5" s="7" t="s">
        <v>1397</v>
      </c>
      <c r="F5" s="7" t="s">
        <v>1416</v>
      </c>
      <c r="G5" s="7" t="s">
        <v>1417</v>
      </c>
      <c r="H5" s="7" t="s">
        <v>1418</v>
      </c>
    </row>
    <row r="7" customFormat="false" ht="15" hidden="false" customHeight="false" outlineLevel="0" collapsed="false">
      <c r="A7" s="14" t="s">
        <v>1419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6"/>
    <col collapsed="false" customWidth="true" hidden="false" outlineLevel="0" max="3" min="3" style="0" width="92"/>
  </cols>
  <sheetData>
    <row r="1" customFormat="false" ht="30" hidden="false" customHeight="true" outlineLevel="0" collapsed="false">
      <c r="A1" s="4" t="s">
        <v>1420</v>
      </c>
      <c r="B1" s="4" t="s">
        <v>369</v>
      </c>
      <c r="C1" s="4" t="s">
        <v>1362</v>
      </c>
    </row>
    <row r="2" customFormat="false" ht="15" hidden="false" customHeight="false" outlineLevel="0" collapsed="false">
      <c r="A2" s="7" t="s">
        <v>1421</v>
      </c>
      <c r="B2" s="7" t="s">
        <v>1422</v>
      </c>
      <c r="C2" s="7" t="s">
        <v>1423</v>
      </c>
    </row>
    <row r="3" customFormat="false" ht="23.85" hidden="false" customHeight="false" outlineLevel="0" collapsed="false">
      <c r="A3" s="7" t="s">
        <v>1424</v>
      </c>
      <c r="B3" s="7"/>
      <c r="C3" s="7" t="s">
        <v>1425</v>
      </c>
    </row>
    <row r="4" customFormat="false" ht="35.05" hidden="false" customHeight="false" outlineLevel="0" collapsed="false">
      <c r="A4" s="7" t="s">
        <v>1426</v>
      </c>
      <c r="B4" s="7"/>
      <c r="C4" s="7" t="s">
        <v>1427</v>
      </c>
    </row>
    <row r="5" customFormat="false" ht="35.05" hidden="false" customHeight="false" outlineLevel="0" collapsed="false">
      <c r="A5" s="7" t="s">
        <v>1428</v>
      </c>
      <c r="B5" s="7"/>
      <c r="C5" s="7" t="s">
        <v>1429</v>
      </c>
    </row>
    <row r="6" customFormat="false" ht="23.85" hidden="false" customHeight="false" outlineLevel="0" collapsed="false">
      <c r="A6" s="7" t="s">
        <v>1430</v>
      </c>
      <c r="B6" s="7"/>
      <c r="C6" s="7" t="s">
        <v>1431</v>
      </c>
    </row>
    <row r="7" customFormat="false" ht="46.25" hidden="false" customHeight="false" outlineLevel="0" collapsed="false">
      <c r="A7" s="7" t="s">
        <v>1432</v>
      </c>
      <c r="B7" s="7"/>
      <c r="C7" s="7" t="s">
        <v>1433</v>
      </c>
    </row>
    <row r="8" customFormat="false" ht="57.45" hidden="false" customHeight="false" outlineLevel="0" collapsed="false">
      <c r="A8" s="7" t="s">
        <v>1434</v>
      </c>
      <c r="B8" s="7" t="s">
        <v>1435</v>
      </c>
      <c r="C8" s="7" t="s">
        <v>1436</v>
      </c>
    </row>
    <row r="10" customFormat="false" ht="15" hidden="false" customHeight="false" outlineLevel="0" collapsed="false">
      <c r="A10" s="14" t="s">
        <v>1437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64"/>
  </cols>
  <sheetData>
    <row r="1" customFormat="false" ht="15" hidden="false" customHeight="false" outlineLevel="0" collapsed="false">
      <c r="A1" s="6" t="s">
        <v>1438</v>
      </c>
      <c r="B1" s="6" t="s">
        <v>369</v>
      </c>
      <c r="C1" s="6" t="s">
        <v>1439</v>
      </c>
    </row>
    <row r="2" customFormat="false" ht="15" hidden="false" customHeight="false" outlineLevel="0" collapsed="false">
      <c r="A2" s="7" t="s">
        <v>120</v>
      </c>
      <c r="B2" s="7" t="s">
        <v>1440</v>
      </c>
      <c r="C2" s="7" t="s">
        <v>1441</v>
      </c>
    </row>
    <row r="3" customFormat="false" ht="15" hidden="false" customHeight="false" outlineLevel="0" collapsed="false">
      <c r="A3" s="7" t="s">
        <v>1442</v>
      </c>
      <c r="B3" s="7" t="s">
        <v>1443</v>
      </c>
      <c r="C3" s="7" t="s">
        <v>1444</v>
      </c>
    </row>
    <row r="4" customFormat="false" ht="35.05" hidden="false" customHeight="false" outlineLevel="0" collapsed="false">
      <c r="A4" s="7" t="s">
        <v>97</v>
      </c>
      <c r="B4" s="7" t="s">
        <v>1445</v>
      </c>
      <c r="C4" s="7" t="s">
        <v>1446</v>
      </c>
    </row>
    <row r="5" customFormat="false" ht="15" hidden="false" customHeight="false" outlineLevel="0" collapsed="false">
      <c r="A5" s="7" t="s">
        <v>1447</v>
      </c>
      <c r="B5" s="7" t="s">
        <v>1448</v>
      </c>
      <c r="C5" s="7" t="s">
        <v>1449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2" style="0" width="34"/>
    <col collapsed="false" customWidth="true" hidden="false" outlineLevel="0" max="4" min="4" style="0" width="40"/>
    <col collapsed="false" customWidth="true" hidden="false" outlineLevel="0" max="5" min="5" style="0" width="12"/>
  </cols>
  <sheetData>
    <row r="1" customFormat="false" ht="30" hidden="false" customHeight="true" outlineLevel="0" collapsed="false">
      <c r="A1" s="4" t="s">
        <v>1450</v>
      </c>
      <c r="B1" s="4" t="s">
        <v>1451</v>
      </c>
      <c r="C1" s="4" t="s">
        <v>1452</v>
      </c>
      <c r="D1" s="4" t="s">
        <v>1453</v>
      </c>
      <c r="E1" s="4" t="s">
        <v>58</v>
      </c>
    </row>
    <row r="2" customFormat="false" ht="35.05" hidden="false" customHeight="false" outlineLevel="0" collapsed="false">
      <c r="A2" s="7" t="s">
        <v>1454</v>
      </c>
      <c r="B2" s="7" t="s">
        <v>1455</v>
      </c>
      <c r="C2" s="7" t="s">
        <v>1456</v>
      </c>
      <c r="D2" s="7" t="s">
        <v>1457</v>
      </c>
      <c r="E2" s="7" t="s">
        <v>73</v>
      </c>
    </row>
    <row r="4" customFormat="false" ht="15" hidden="false" customHeight="false" outlineLevel="0" collapsed="false">
      <c r="A4" s="14" t="s">
        <v>1458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6"/>
    <col collapsed="false" customWidth="true" hidden="false" outlineLevel="0" max="3" min="3" style="0" width="12"/>
    <col collapsed="false" customWidth="true" hidden="false" outlineLevel="0" max="4" min="4" style="0" width="62"/>
  </cols>
  <sheetData>
    <row r="1" customFormat="false" ht="30" hidden="false" customHeight="true" outlineLevel="0" collapsed="false">
      <c r="A1" s="4" t="s">
        <v>1459</v>
      </c>
      <c r="B1" s="4" t="s">
        <v>1460</v>
      </c>
      <c r="C1" s="4" t="s">
        <v>1461</v>
      </c>
      <c r="D1" s="4" t="s">
        <v>1462</v>
      </c>
    </row>
    <row r="2" customFormat="false" ht="15" hidden="false" customHeight="false" outlineLevel="0" collapsed="false">
      <c r="A2" s="7" t="s">
        <v>368</v>
      </c>
      <c r="B2" s="7" t="s">
        <v>1463</v>
      </c>
      <c r="C2" s="7" t="s">
        <v>386</v>
      </c>
      <c r="D2" s="7" t="s">
        <v>1464</v>
      </c>
    </row>
    <row r="3" customFormat="false" ht="15" hidden="false" customHeight="false" outlineLevel="0" collapsed="false">
      <c r="A3" s="7" t="s">
        <v>1465</v>
      </c>
      <c r="B3" s="7" t="s">
        <v>1466</v>
      </c>
      <c r="C3" s="7" t="s">
        <v>386</v>
      </c>
      <c r="D3" s="7" t="s">
        <v>1467</v>
      </c>
    </row>
    <row r="4" customFormat="false" ht="23.85" hidden="false" customHeight="false" outlineLevel="0" collapsed="false">
      <c r="A4" s="7" t="s">
        <v>62</v>
      </c>
      <c r="B4" s="7" t="s">
        <v>1468</v>
      </c>
      <c r="C4" s="7" t="s">
        <v>386</v>
      </c>
      <c r="D4" s="7" t="s">
        <v>1469</v>
      </c>
    </row>
    <row r="5" customFormat="false" ht="35.05" hidden="false" customHeight="false" outlineLevel="0" collapsed="false">
      <c r="A5" s="7" t="s">
        <v>1470</v>
      </c>
      <c r="B5" s="7" t="s">
        <v>1471</v>
      </c>
      <c r="C5" s="7" t="s">
        <v>386</v>
      </c>
      <c r="D5" s="7" t="s">
        <v>1472</v>
      </c>
    </row>
    <row r="6" customFormat="false" ht="15" hidden="false" customHeight="false" outlineLevel="0" collapsed="false">
      <c r="A6" s="7" t="s">
        <v>1473</v>
      </c>
      <c r="B6" s="7" t="s">
        <v>1474</v>
      </c>
      <c r="C6" s="7" t="s">
        <v>386</v>
      </c>
      <c r="D6" s="7" t="s">
        <v>1475</v>
      </c>
    </row>
    <row r="7" customFormat="false" ht="46.25" hidden="false" customHeight="false" outlineLevel="0" collapsed="false">
      <c r="A7" s="7" t="s">
        <v>1476</v>
      </c>
      <c r="B7" s="7" t="s">
        <v>1477</v>
      </c>
      <c r="C7" s="7" t="s">
        <v>386</v>
      </c>
      <c r="D7" s="7" t="s">
        <v>1478</v>
      </c>
    </row>
    <row r="8" customFormat="false" ht="23.85" hidden="false" customHeight="false" outlineLevel="0" collapsed="false">
      <c r="A8" s="7" t="s">
        <v>1479</v>
      </c>
      <c r="B8" s="7" t="s">
        <v>1480</v>
      </c>
      <c r="C8" s="7" t="s">
        <v>386</v>
      </c>
      <c r="D8" s="7" t="s">
        <v>1481</v>
      </c>
    </row>
    <row r="9" customFormat="false" ht="15" hidden="false" customHeight="false" outlineLevel="0" collapsed="false">
      <c r="A9" s="7" t="s">
        <v>1482</v>
      </c>
      <c r="B9" s="7" t="s">
        <v>1483</v>
      </c>
      <c r="C9" s="7" t="s">
        <v>386</v>
      </c>
      <c r="D9" s="7" t="s">
        <v>1484</v>
      </c>
    </row>
    <row r="11" customFormat="false" ht="399.75" hidden="false" customHeight="true" outlineLevel="0" collapsed="false">
      <c r="A11" s="16" t="s">
        <v>1485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14"/>
    <col collapsed="false" customWidth="true" hidden="false" outlineLevel="0" max="4" min="4" style="0" width="10"/>
    <col collapsed="false" customWidth="true" hidden="false" outlineLevel="0" max="5" min="5" style="0" width="11"/>
    <col collapsed="false" customWidth="true" hidden="false" outlineLevel="0" max="6" min="6" style="0" width="44"/>
    <col collapsed="false" customWidth="true" hidden="false" outlineLevel="0" max="7" min="7" style="0" width="12"/>
    <col collapsed="false" customWidth="true" hidden="false" outlineLevel="0" max="9" min="8" style="0" width="46"/>
  </cols>
  <sheetData>
    <row r="1" customFormat="false" ht="30" hidden="false" customHeight="true" outlineLevel="0" collapsed="false">
      <c r="A1" s="4" t="s">
        <v>1486</v>
      </c>
      <c r="B1" s="4" t="s">
        <v>189</v>
      </c>
      <c r="C1" s="4" t="s">
        <v>1487</v>
      </c>
      <c r="D1" s="4" t="s">
        <v>190</v>
      </c>
      <c r="E1" s="4" t="s">
        <v>1488</v>
      </c>
      <c r="F1" s="4" t="s">
        <v>1489</v>
      </c>
      <c r="G1" s="4" t="s">
        <v>1490</v>
      </c>
      <c r="H1" s="4" t="s">
        <v>1491</v>
      </c>
      <c r="I1" s="4" t="s">
        <v>454</v>
      </c>
    </row>
    <row r="2" customFormat="false" ht="15" hidden="false" customHeight="false" outlineLevel="0" collapsed="false">
      <c r="A2" s="7" t="s">
        <v>1492</v>
      </c>
      <c r="B2" s="7" t="s">
        <v>1493</v>
      </c>
      <c r="C2" s="7"/>
      <c r="D2" s="7" t="s">
        <v>1494</v>
      </c>
      <c r="E2" s="7"/>
      <c r="F2" s="7"/>
      <c r="G2" s="7" t="s">
        <v>1495</v>
      </c>
      <c r="H2" s="7" t="s">
        <v>1496</v>
      </c>
      <c r="I2" s="7" t="s">
        <v>1497</v>
      </c>
    </row>
    <row r="3" customFormat="false" ht="23.85" hidden="false" customHeight="false" outlineLevel="0" collapsed="false">
      <c r="A3" s="7" t="s">
        <v>1498</v>
      </c>
      <c r="B3" s="7" t="s">
        <v>1499</v>
      </c>
      <c r="C3" s="7"/>
      <c r="D3" s="7" t="s">
        <v>1494</v>
      </c>
      <c r="E3" s="7"/>
      <c r="F3" s="7"/>
      <c r="G3" s="7" t="s">
        <v>1495</v>
      </c>
      <c r="H3" s="7" t="s">
        <v>1496</v>
      </c>
      <c r="I3" s="7" t="s">
        <v>1497</v>
      </c>
    </row>
    <row r="4" customFormat="false" ht="46.25" hidden="false" customHeight="false" outlineLevel="0" collapsed="false">
      <c r="A4" s="7" t="s">
        <v>1500</v>
      </c>
      <c r="B4" s="7" t="s">
        <v>1501</v>
      </c>
      <c r="C4" s="7" t="s">
        <v>1023</v>
      </c>
      <c r="D4" s="7" t="s">
        <v>1502</v>
      </c>
      <c r="E4" s="7" t="s">
        <v>1503</v>
      </c>
      <c r="F4" s="7" t="s">
        <v>1504</v>
      </c>
      <c r="G4" s="7" t="s">
        <v>1505</v>
      </c>
      <c r="H4" s="7" t="s">
        <v>1506</v>
      </c>
      <c r="I4" s="7" t="s">
        <v>1507</v>
      </c>
    </row>
    <row r="5" customFormat="false" ht="46.25" hidden="false" customHeight="false" outlineLevel="0" collapsed="false">
      <c r="A5" s="7" t="s">
        <v>1508</v>
      </c>
      <c r="B5" s="7" t="s">
        <v>1509</v>
      </c>
      <c r="C5" s="7" t="s">
        <v>1036</v>
      </c>
      <c r="D5" s="7" t="s">
        <v>1502</v>
      </c>
      <c r="E5" s="7" t="s">
        <v>1510</v>
      </c>
      <c r="F5" s="7" t="s">
        <v>1511</v>
      </c>
      <c r="G5" s="7" t="s">
        <v>1505</v>
      </c>
      <c r="H5" s="7" t="s">
        <v>1512</v>
      </c>
      <c r="I5" s="7" t="s">
        <v>1513</v>
      </c>
    </row>
    <row r="6" customFormat="false" ht="35.05" hidden="false" customHeight="false" outlineLevel="0" collapsed="false">
      <c r="A6" s="7" t="s">
        <v>1514</v>
      </c>
      <c r="B6" s="7" t="s">
        <v>1515</v>
      </c>
      <c r="C6" s="7" t="s">
        <v>997</v>
      </c>
      <c r="D6" s="7" t="s">
        <v>1502</v>
      </c>
      <c r="E6" s="7" t="s">
        <v>1516</v>
      </c>
      <c r="F6" s="7" t="s">
        <v>1517</v>
      </c>
      <c r="G6" s="7" t="s">
        <v>1505</v>
      </c>
      <c r="H6" s="7" t="s">
        <v>1518</v>
      </c>
      <c r="I6" s="7" t="s">
        <v>1519</v>
      </c>
    </row>
    <row r="8" customFormat="false" ht="15" hidden="false" customHeight="false" outlineLevel="0" collapsed="false">
      <c r="A8" s="14" t="s">
        <v>1520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60"/>
  </cols>
  <sheetData>
    <row r="1" customFormat="false" ht="30" hidden="false" customHeight="true" outlineLevel="0" collapsed="false">
      <c r="A1" s="4" t="s">
        <v>1521</v>
      </c>
      <c r="B1" s="4" t="s">
        <v>703</v>
      </c>
      <c r="C1" s="4" t="s">
        <v>1522</v>
      </c>
      <c r="D1" s="4" t="s">
        <v>1486</v>
      </c>
      <c r="E1" s="4" t="s">
        <v>1523</v>
      </c>
      <c r="F1" s="4" t="s">
        <v>1524</v>
      </c>
    </row>
    <row r="2" customFormat="false" ht="15" hidden="false" customHeight="false" outlineLevel="0" collapsed="false">
      <c r="A2" s="7" t="s">
        <v>1525</v>
      </c>
      <c r="B2" s="7" t="s">
        <v>715</v>
      </c>
      <c r="C2" s="7" t="s">
        <v>759</v>
      </c>
      <c r="D2" s="7" t="s">
        <v>1500</v>
      </c>
      <c r="E2" s="7" t="s">
        <v>1503</v>
      </c>
      <c r="F2" s="7" t="s">
        <v>1526</v>
      </c>
    </row>
    <row r="3" customFormat="false" ht="23.85" hidden="false" customHeight="false" outlineLevel="0" collapsed="false">
      <c r="A3" s="7" t="s">
        <v>1527</v>
      </c>
      <c r="B3" s="7" t="s">
        <v>723</v>
      </c>
      <c r="C3" s="7" t="s">
        <v>1528</v>
      </c>
      <c r="D3" s="7" t="s">
        <v>1508</v>
      </c>
      <c r="E3" s="7" t="s">
        <v>1510</v>
      </c>
      <c r="F3" s="7" t="s">
        <v>1529</v>
      </c>
    </row>
    <row r="4" customFormat="false" ht="23.85" hidden="false" customHeight="false" outlineLevel="0" collapsed="false">
      <c r="A4" s="7" t="s">
        <v>1530</v>
      </c>
      <c r="B4" s="7" t="s">
        <v>731</v>
      </c>
      <c r="C4" s="7" t="s">
        <v>1531</v>
      </c>
      <c r="D4" s="7" t="s">
        <v>1500</v>
      </c>
      <c r="E4" s="7" t="s">
        <v>1503</v>
      </c>
      <c r="F4" s="7" t="s">
        <v>1532</v>
      </c>
    </row>
    <row r="5" customFormat="false" ht="23.85" hidden="false" customHeight="false" outlineLevel="0" collapsed="false">
      <c r="A5" s="7" t="s">
        <v>1533</v>
      </c>
      <c r="B5" s="7" t="s">
        <v>738</v>
      </c>
      <c r="C5" s="7" t="s">
        <v>1534</v>
      </c>
      <c r="D5" s="7" t="s">
        <v>1514</v>
      </c>
      <c r="E5" s="7" t="s">
        <v>1516</v>
      </c>
      <c r="F5" s="7" t="s">
        <v>1535</v>
      </c>
    </row>
    <row r="6" customFormat="false" ht="35.05" hidden="false" customHeight="false" outlineLevel="0" collapsed="false">
      <c r="A6" s="7" t="s">
        <v>1536</v>
      </c>
      <c r="B6" s="7" t="s">
        <v>744</v>
      </c>
      <c r="C6" s="7" t="s">
        <v>1537</v>
      </c>
      <c r="D6" s="7"/>
      <c r="E6" s="7"/>
      <c r="F6" s="7" t="s">
        <v>1538</v>
      </c>
    </row>
    <row r="8" customFormat="false" ht="15" hidden="false" customHeight="false" outlineLevel="0" collapsed="false">
      <c r="A8" s="14" t="s">
        <v>1539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24"/>
    <col collapsed="false" customWidth="true" hidden="false" outlineLevel="0" max="5" min="4" style="0" width="48"/>
    <col collapsed="false" customWidth="true" hidden="false" outlineLevel="0" max="6" min="6" style="0" width="36"/>
    <col collapsed="false" customWidth="true" hidden="false" outlineLevel="0" max="7" min="7" style="0" width="46"/>
  </cols>
  <sheetData>
    <row r="1" customFormat="false" ht="30" hidden="false" customHeight="true" outlineLevel="0" collapsed="false">
      <c r="A1" s="4" t="s">
        <v>55</v>
      </c>
      <c r="B1" s="4" t="s">
        <v>1540</v>
      </c>
      <c r="C1" s="4" t="s">
        <v>1541</v>
      </c>
      <c r="D1" s="4" t="s">
        <v>1542</v>
      </c>
      <c r="E1" s="4" t="s">
        <v>1543</v>
      </c>
      <c r="F1" s="4" t="s">
        <v>1544</v>
      </c>
      <c r="G1" s="4" t="s">
        <v>1545</v>
      </c>
    </row>
    <row r="2" customFormat="false" ht="68.65" hidden="false" customHeight="false" outlineLevel="0" collapsed="false">
      <c r="A2" s="7" t="s">
        <v>70</v>
      </c>
      <c r="B2" s="7" t="s">
        <v>1546</v>
      </c>
      <c r="C2" s="7" t="s">
        <v>1547</v>
      </c>
      <c r="D2" s="7" t="s">
        <v>1548</v>
      </c>
      <c r="E2" s="7" t="s">
        <v>1549</v>
      </c>
      <c r="F2" s="7" t="s">
        <v>1550</v>
      </c>
      <c r="G2" s="7" t="s">
        <v>1551</v>
      </c>
    </row>
    <row r="3" customFormat="false" ht="79.85" hidden="false" customHeight="false" outlineLevel="0" collapsed="false">
      <c r="A3" s="7" t="s">
        <v>85</v>
      </c>
      <c r="B3" s="7" t="s">
        <v>1552</v>
      </c>
      <c r="C3" s="7" t="s">
        <v>1553</v>
      </c>
      <c r="D3" s="7" t="s">
        <v>1554</v>
      </c>
      <c r="E3" s="7" t="s">
        <v>1555</v>
      </c>
      <c r="F3" s="7" t="s">
        <v>1556</v>
      </c>
      <c r="G3" s="7" t="s">
        <v>1557</v>
      </c>
    </row>
    <row r="4" customFormat="false" ht="57.45" hidden="false" customHeight="false" outlineLevel="0" collapsed="false">
      <c r="A4" s="7" t="s">
        <v>100</v>
      </c>
      <c r="B4" s="7" t="s">
        <v>1558</v>
      </c>
      <c r="C4" s="7" t="s">
        <v>1559</v>
      </c>
      <c r="D4" s="7" t="s">
        <v>1560</v>
      </c>
      <c r="E4" s="7" t="s">
        <v>1561</v>
      </c>
      <c r="F4" s="7" t="s">
        <v>1562</v>
      </c>
      <c r="G4" s="7" t="s">
        <v>1563</v>
      </c>
    </row>
    <row r="5" customFormat="false" ht="79.85" hidden="false" customHeight="false" outlineLevel="0" collapsed="false">
      <c r="A5" s="7" t="s">
        <v>113</v>
      </c>
      <c r="B5" s="7" t="s">
        <v>1564</v>
      </c>
      <c r="C5" s="7" t="s">
        <v>1565</v>
      </c>
      <c r="D5" s="7" t="s">
        <v>1566</v>
      </c>
      <c r="E5" s="7" t="s">
        <v>1567</v>
      </c>
      <c r="F5" s="7" t="s">
        <v>1568</v>
      </c>
      <c r="G5" s="7" t="s">
        <v>1569</v>
      </c>
    </row>
    <row r="6" customFormat="false" ht="57.45" hidden="false" customHeight="false" outlineLevel="0" collapsed="false">
      <c r="A6" s="7" t="s">
        <v>123</v>
      </c>
      <c r="B6" s="7" t="s">
        <v>1570</v>
      </c>
      <c r="C6" s="7" t="s">
        <v>1571</v>
      </c>
      <c r="D6" s="7" t="s">
        <v>1572</v>
      </c>
      <c r="E6" s="7" t="s">
        <v>1573</v>
      </c>
      <c r="F6" s="7" t="s">
        <v>1574</v>
      </c>
      <c r="G6" s="7" t="s">
        <v>1575</v>
      </c>
    </row>
    <row r="8" customFormat="false" ht="15" hidden="false" customHeight="false" outlineLevel="0" collapsed="false">
      <c r="A8" s="14" t="s">
        <v>1576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4"/>
    <col collapsed="false" customWidth="true" hidden="false" outlineLevel="0" max="3" min="3" style="0" width="60"/>
    <col collapsed="false" customWidth="true" hidden="false" outlineLevel="0" max="4" min="4" style="0" width="20"/>
  </cols>
  <sheetData>
    <row r="1" customFormat="false" ht="30" hidden="false" customHeight="true" outlineLevel="0" collapsed="false">
      <c r="A1" s="4" t="s">
        <v>1577</v>
      </c>
      <c r="B1" s="4" t="s">
        <v>1578</v>
      </c>
      <c r="C1" s="4" t="s">
        <v>1579</v>
      </c>
      <c r="D1" s="4" t="s">
        <v>369</v>
      </c>
    </row>
    <row r="2" customFormat="false" ht="23.85" hidden="false" customHeight="false" outlineLevel="0" collapsed="false">
      <c r="A2" s="7" t="s">
        <v>1580</v>
      </c>
      <c r="B2" s="7" t="s">
        <v>1581</v>
      </c>
      <c r="C2" s="7" t="s">
        <v>1582</v>
      </c>
      <c r="D2" s="7" t="s">
        <v>1583</v>
      </c>
    </row>
    <row r="3" customFormat="false" ht="23.85" hidden="false" customHeight="false" outlineLevel="0" collapsed="false">
      <c r="A3" s="7" t="s">
        <v>1584</v>
      </c>
      <c r="B3" s="7" t="s">
        <v>1585</v>
      </c>
      <c r="C3" s="7" t="s">
        <v>1586</v>
      </c>
      <c r="D3" s="7" t="s">
        <v>1583</v>
      </c>
    </row>
    <row r="4" customFormat="false" ht="23.85" hidden="false" customHeight="false" outlineLevel="0" collapsed="false">
      <c r="A4" s="7" t="s">
        <v>1587</v>
      </c>
      <c r="B4" s="7" t="s">
        <v>1588</v>
      </c>
      <c r="C4" s="7" t="s">
        <v>1589</v>
      </c>
      <c r="D4" s="7" t="s">
        <v>1583</v>
      </c>
    </row>
    <row r="5" customFormat="false" ht="23.85" hidden="false" customHeight="false" outlineLevel="0" collapsed="false">
      <c r="A5" s="7" t="s">
        <v>1590</v>
      </c>
      <c r="B5" s="7" t="s">
        <v>1591</v>
      </c>
      <c r="C5" s="7" t="s">
        <v>1592</v>
      </c>
      <c r="D5" s="7" t="s">
        <v>1583</v>
      </c>
    </row>
    <row r="6" customFormat="false" ht="23.85" hidden="false" customHeight="false" outlineLevel="0" collapsed="false">
      <c r="A6" s="7" t="s">
        <v>1593</v>
      </c>
      <c r="B6" s="7" t="s">
        <v>1588</v>
      </c>
      <c r="C6" s="7" t="s">
        <v>1594</v>
      </c>
      <c r="D6" s="7" t="s">
        <v>1583</v>
      </c>
    </row>
    <row r="8" customFormat="false" ht="15" hidden="false" customHeight="false" outlineLevel="0" collapsed="false">
      <c r="A8" s="14" t="s">
        <v>1595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20"/>
    <col collapsed="false" customWidth="true" hidden="false" outlineLevel="0" max="4" min="4" style="0" width="32"/>
    <col collapsed="false" customWidth="true" hidden="false" outlineLevel="0" max="5" min="5" style="0" width="50"/>
    <col collapsed="false" customWidth="true" hidden="false" outlineLevel="0" max="6" min="6" style="0" width="72"/>
  </cols>
  <sheetData>
    <row r="1" customFormat="false" ht="30" hidden="false" customHeight="true" outlineLevel="0" collapsed="false">
      <c r="A1" s="4" t="s">
        <v>1596</v>
      </c>
      <c r="B1" s="4" t="s">
        <v>48</v>
      </c>
      <c r="C1" s="4" t="s">
        <v>189</v>
      </c>
      <c r="D1" s="4" t="s">
        <v>541</v>
      </c>
      <c r="E1" s="4" t="s">
        <v>1136</v>
      </c>
      <c r="F1" s="4" t="s">
        <v>1597</v>
      </c>
    </row>
    <row r="2" customFormat="false" ht="79.85" hidden="false" customHeight="false" outlineLevel="0" collapsed="false">
      <c r="A2" s="7" t="s">
        <v>1598</v>
      </c>
      <c r="B2" s="7" t="s">
        <v>1599</v>
      </c>
      <c r="C2" s="7" t="s">
        <v>1600</v>
      </c>
      <c r="D2" s="7" t="s">
        <v>1601</v>
      </c>
      <c r="E2" s="7" t="s">
        <v>1602</v>
      </c>
      <c r="F2" s="7" t="s">
        <v>1603</v>
      </c>
    </row>
    <row r="3" customFormat="false" ht="79.85" hidden="false" customHeight="false" outlineLevel="0" collapsed="false">
      <c r="A3" s="7" t="s">
        <v>1604</v>
      </c>
      <c r="B3" s="7" t="s">
        <v>1605</v>
      </c>
      <c r="C3" s="7" t="s">
        <v>1606</v>
      </c>
      <c r="D3" s="7" t="s">
        <v>1607</v>
      </c>
      <c r="E3" s="7" t="s">
        <v>1608</v>
      </c>
      <c r="F3" s="7" t="s">
        <v>1609</v>
      </c>
    </row>
    <row r="4" customFormat="false" ht="102.2" hidden="false" customHeight="false" outlineLevel="0" collapsed="false">
      <c r="A4" s="7" t="s">
        <v>1610</v>
      </c>
      <c r="B4" s="7" t="s">
        <v>1611</v>
      </c>
      <c r="C4" s="7" t="s">
        <v>1612</v>
      </c>
      <c r="D4" s="7" t="s">
        <v>1613</v>
      </c>
      <c r="E4" s="7" t="s">
        <v>1614</v>
      </c>
      <c r="F4" s="7" t="s">
        <v>1615</v>
      </c>
    </row>
    <row r="5" customFormat="false" ht="79.85" hidden="false" customHeight="false" outlineLevel="0" collapsed="false">
      <c r="A5" s="7" t="s">
        <v>1616</v>
      </c>
      <c r="B5" s="7" t="s">
        <v>1617</v>
      </c>
      <c r="C5" s="7" t="s">
        <v>1618</v>
      </c>
      <c r="D5" s="7" t="s">
        <v>1619</v>
      </c>
      <c r="E5" s="7" t="s">
        <v>1620</v>
      </c>
      <c r="F5" s="7" t="s">
        <v>1621</v>
      </c>
    </row>
    <row r="6" customFormat="false" ht="113.4" hidden="false" customHeight="false" outlineLevel="0" collapsed="false">
      <c r="A6" s="7" t="s">
        <v>1622</v>
      </c>
      <c r="B6" s="7" t="s">
        <v>1623</v>
      </c>
      <c r="C6" s="7" t="s">
        <v>1624</v>
      </c>
      <c r="D6" s="7" t="s">
        <v>1625</v>
      </c>
      <c r="E6" s="7" t="s">
        <v>1626</v>
      </c>
      <c r="F6" s="7" t="s">
        <v>1627</v>
      </c>
    </row>
    <row r="8" customFormat="false" ht="15" hidden="false" customHeight="false" outlineLevel="0" collapsed="false">
      <c r="A8" s="14" t="s">
        <v>1628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8"/>
    <col collapsed="false" customWidth="true" hidden="false" outlineLevel="0" max="3" min="3" style="0" width="24"/>
    <col collapsed="false" customWidth="true" hidden="false" outlineLevel="0" max="4" min="4" style="0" width="54"/>
    <col collapsed="false" customWidth="true" hidden="false" outlineLevel="0" max="5" min="5" style="0" width="24"/>
    <col collapsed="false" customWidth="true" hidden="false" outlineLevel="0" max="6" min="6" style="0" width="54"/>
  </cols>
  <sheetData>
    <row r="1" customFormat="false" ht="30" hidden="false" customHeight="true" outlineLevel="0" collapsed="false">
      <c r="A1" s="4" t="s">
        <v>1629</v>
      </c>
      <c r="B1" s="4" t="s">
        <v>1630</v>
      </c>
      <c r="C1" s="4" t="s">
        <v>1541</v>
      </c>
      <c r="D1" s="4" t="s">
        <v>1631</v>
      </c>
      <c r="E1" s="4" t="s">
        <v>369</v>
      </c>
      <c r="F1" s="4" t="s">
        <v>1632</v>
      </c>
    </row>
    <row r="2" customFormat="false" ht="35.05" hidden="false" customHeight="false" outlineLevel="0" collapsed="false">
      <c r="A2" s="7" t="s">
        <v>1633</v>
      </c>
      <c r="B2" s="7" t="s">
        <v>1634</v>
      </c>
      <c r="C2" s="7" t="s">
        <v>1635</v>
      </c>
      <c r="D2" s="7" t="s">
        <v>1636</v>
      </c>
      <c r="E2" s="7" t="s">
        <v>1637</v>
      </c>
      <c r="F2" s="7" t="s">
        <v>1638</v>
      </c>
    </row>
    <row r="3" customFormat="false" ht="35.05" hidden="false" customHeight="false" outlineLevel="0" collapsed="false">
      <c r="A3" s="7" t="s">
        <v>1639</v>
      </c>
      <c r="B3" s="7" t="s">
        <v>1640</v>
      </c>
      <c r="C3" s="7" t="s">
        <v>1641</v>
      </c>
      <c r="D3" s="7" t="s">
        <v>1642</v>
      </c>
      <c r="E3" s="7" t="s">
        <v>1643</v>
      </c>
      <c r="F3" s="7" t="s">
        <v>1644</v>
      </c>
    </row>
    <row r="4" customFormat="false" ht="35.05" hidden="false" customHeight="false" outlineLevel="0" collapsed="false">
      <c r="A4" s="7" t="s">
        <v>1645</v>
      </c>
      <c r="B4" s="7" t="s">
        <v>1646</v>
      </c>
      <c r="C4" s="7" t="s">
        <v>1647</v>
      </c>
      <c r="D4" s="7" t="s">
        <v>1648</v>
      </c>
      <c r="E4" s="7" t="s">
        <v>1643</v>
      </c>
      <c r="F4" s="7" t="s">
        <v>1649</v>
      </c>
    </row>
    <row r="5" customFormat="false" ht="46.25" hidden="false" customHeight="false" outlineLevel="0" collapsed="false">
      <c r="A5" s="7" t="s">
        <v>1650</v>
      </c>
      <c r="B5" s="7" t="s">
        <v>1651</v>
      </c>
      <c r="C5" s="7" t="s">
        <v>1652</v>
      </c>
      <c r="D5" s="7" t="s">
        <v>1653</v>
      </c>
      <c r="E5" s="7" t="s">
        <v>1643</v>
      </c>
      <c r="F5" s="7" t="s">
        <v>1654</v>
      </c>
    </row>
    <row r="6" customFormat="false" ht="35.05" hidden="false" customHeight="false" outlineLevel="0" collapsed="false">
      <c r="A6" s="7" t="s">
        <v>1655</v>
      </c>
      <c r="B6" s="7" t="s">
        <v>1656</v>
      </c>
      <c r="C6" s="7" t="s">
        <v>1657</v>
      </c>
      <c r="D6" s="7" t="s">
        <v>1658</v>
      </c>
      <c r="E6" s="7" t="s">
        <v>1659</v>
      </c>
      <c r="F6" s="7" t="s">
        <v>1660</v>
      </c>
    </row>
    <row r="7" customFormat="false" ht="35.05" hidden="false" customHeight="false" outlineLevel="0" collapsed="false">
      <c r="A7" s="7" t="s">
        <v>1661</v>
      </c>
      <c r="B7" s="7" t="s">
        <v>1662</v>
      </c>
      <c r="C7" s="7" t="s">
        <v>1663</v>
      </c>
      <c r="D7" s="7" t="s">
        <v>1664</v>
      </c>
      <c r="E7" s="7" t="s">
        <v>1643</v>
      </c>
      <c r="F7" s="7" t="s">
        <v>1665</v>
      </c>
    </row>
    <row r="8" customFormat="false" ht="46.25" hidden="false" customHeight="false" outlineLevel="0" collapsed="false">
      <c r="A8" s="7" t="s">
        <v>1666</v>
      </c>
      <c r="B8" s="7" t="s">
        <v>1667</v>
      </c>
      <c r="C8" s="7" t="s">
        <v>1668</v>
      </c>
      <c r="D8" s="7" t="s">
        <v>1669</v>
      </c>
      <c r="E8" s="7" t="s">
        <v>1670</v>
      </c>
      <c r="F8" s="7" t="s">
        <v>1671</v>
      </c>
    </row>
    <row r="9" customFormat="false" ht="35.05" hidden="false" customHeight="false" outlineLevel="0" collapsed="false">
      <c r="A9" s="7" t="s">
        <v>1672</v>
      </c>
      <c r="B9" s="7" t="s">
        <v>1673</v>
      </c>
      <c r="C9" s="7" t="s">
        <v>1674</v>
      </c>
      <c r="D9" s="7" t="s">
        <v>1675</v>
      </c>
      <c r="E9" s="7" t="s">
        <v>1643</v>
      </c>
      <c r="F9" s="7" t="s">
        <v>1676</v>
      </c>
    </row>
    <row r="10" customFormat="false" ht="35.05" hidden="false" customHeight="false" outlineLevel="0" collapsed="false">
      <c r="A10" s="7" t="s">
        <v>1677</v>
      </c>
      <c r="B10" s="7" t="s">
        <v>1678</v>
      </c>
      <c r="C10" s="7" t="s">
        <v>1679</v>
      </c>
      <c r="D10" s="7" t="s">
        <v>1680</v>
      </c>
      <c r="E10" s="7" t="s">
        <v>1681</v>
      </c>
      <c r="F10" s="7" t="s">
        <v>1682</v>
      </c>
    </row>
    <row r="12" customFormat="false" ht="15" hidden="false" customHeight="false" outlineLevel="0" collapsed="false">
      <c r="A12" s="14" t="s">
        <v>1683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2026-08-03T19:55:20Z</dcterms:created>
  <dc:creator>openpyxl</dc:creator>
  <dc:description/>
  <dc:language>en-US</dc:language>
  <cp:lastModifiedBy/>
  <dcterms:modified xsi:type="dcterms:W3CDTF">2026-08-24T19:23:03Z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